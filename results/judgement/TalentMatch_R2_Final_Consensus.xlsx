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e72d647d484323" /></Relationships>
</file>

<file path=xl/workbook.xml><?xml version="1.0" encoding="utf-8"?>
<x:workbook xmlns:x="http://schemas.openxmlformats.org/spreadsheetml/2006/main">
  <x:sheets>
    <x:sheet xmlns:r="http://schemas.openxmlformats.org/officeDocument/2006/relationships" name="Summary Metrics" sheetId="1" r:id="R05004dbcd3544d27"/>
    <x:sheet xmlns:r="http://schemas.openxmlformats.org/officeDocument/2006/relationships" name="26 Adjudicated Cases" sheetId="2" r:id="Rfe76ee693c4b494e"/>
    <x:sheet xmlns:r="http://schemas.openxmlformats.org/officeDocument/2006/relationships" name="All 186 Final Consensus" sheetId="3" r:id="Re2ff7ca0f1134203"/>
    <x:sheet xmlns:r="http://schemas.openxmlformats.org/officeDocument/2006/relationships" name="Agreement Calculation" sheetId="4" r:id="R7c7f44a41dc84c1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0"/>
    <x:numFmt numFmtId="201" formatCode="0.00%"/>
  </x:numFmts>
  <x:fonts count="6">
    <x:font>
      <x:sz val="11"/>
      <x:color theme="1"/>
      <x:name val="Calibri"/>
    </x:font>
    <x:font>
      <x:b/>
    </x:font>
    <x:font>
      <x:b/>
      <x:color rgb="FFFFFFFF"/>
    </x:font>
    <x:font>
      <x:sz val="11"/>
      <x:color rgb="FFFFFFFF"/>
      <x:name val="Calibri"/>
    </x:font>
    <x:font>
      <x:b/>
      <x:sz val="11"/>
      <x:color rgb="FFFFFFFF"/>
      <x:name val="Calibri"/>
    </x:font>
    <x:font>
      <x:b/>
      <x:sz val="11"/>
      <x:color theme="1"/>
      <x:name val="Calibri"/>
    </x:font>
  </x:fonts>
  <x:fills count="5">
    <x:fill>
      <x:patternFill patternType="none"/>
    </x:fill>
    <x:fill>
      <x:patternFill patternType="gray125"/>
    </x:fill>
    <x:fill>
      <x:patternFill patternType="solid">
        <x:fgColor rgb="FF183153"/>
      </x:patternFill>
    </x:fill>
    <x:fill>
      <x:patternFill patternType="solid">
        <x:fgColor rgb="FFDCE7F2"/>
      </x:patternFill>
    </x:fill>
    <x:fill>
      <x:patternFill patternType="solid">
        <x:fgColor rgb="FFE9F1F8"/>
      </x:patternFill>
    </x:fill>
  </x:fills>
  <x:borders count="3">
    <x:border/>
    <x:border>
      <x:left style="thin"/>
      <x:right style="thin"/>
      <x:top style="thin"/>
      <x:bottom style="thin"/>
    </x:border>
    <x:border/>
  </x:borders>
  <x:cellStyleXfs count="1">
    <x:xf numFmtId="0" fontId="0" fillId="0" borderId="0"/>
  </x:cellStyleXfs>
  <x:cellXfs count="23">
    <x:xf numFmtId="0" fontId="0" fillId="0" borderId="0" xfId="0"/>
    <x:xf numFmtId="0" fontId="1" fillId="0" borderId="1" xfId="0" applyAlignment="1">
      <x:alignment horizontal="center" vertical="top"/>
    </x:xf>
    <x:xf numFmtId="0" fontId="0" fillId="0" borderId="2" xfId="0" applyNumberFormat="1" applyFont="1" applyFill="1" applyBorder="1"/>
    <x:xf numFmtId="0" fontId="1" fillId="0" borderId="1" xfId="0" applyNumberFormat="1" applyFont="1" applyFill="1" applyBorder="1" applyAlignment="1">
      <x:alignment horizontal="center" vertical="top"/>
    </x:xf>
    <x:xf numFmtId="0" fontId="1" fillId="2" borderId="1" xfId="0" applyNumberFormat="1" applyFont="1" applyFill="1" applyBorder="1" applyAlignment="1">
      <x:alignment horizontal="center" vertical="top"/>
    </x:xf>
    <x:xf numFmtId="0" fontId="2" fillId="2" borderId="1" xfId="0" applyNumberFormat="1" applyFont="1" applyFill="1" applyBorder="1" applyAlignment="1">
      <x:alignment horizontal="center" vertical="top"/>
    </x:xf>
    <x:xf numFmtId="0" fontId="2" fillId="2" borderId="1" xfId="0" applyNumberFormat="1" applyFont="1" applyFill="1" applyBorder="1" applyAlignment="1">
      <x:alignment horizontal="center" vertical="top" wrapText="1"/>
    </x:xf>
    <x:xf numFmtId="0" fontId="0" fillId="2" borderId="0" xfId="0" applyNumberFormat="1" applyFont="1" applyFill="1" applyBorder="1"/>
    <x:xf numFmtId="0" fontId="0" fillId="2" borderId="2"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4" fillId="2" borderId="0" xfId="0" applyNumberFormat="1" applyFont="1" applyFill="1" applyBorder="1"/>
    <x:xf numFmtId="0" fontId="4" fillId="2" borderId="2" xfId="0" applyNumberFormat="1" applyFont="1" applyFill="1" applyBorder="1"/>
    <x:xf numFmtId="0" fontId="0" fillId="3" borderId="0" xfId="0" applyNumberFormat="1" applyFont="1" applyFill="1" applyBorder="1"/>
    <x:xf numFmtId="0" fontId="0" fillId="3" borderId="2"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0" fillId="4" borderId="0" xfId="0" applyNumberFormat="1" applyFont="1" applyFill="1" applyBorder="1"/>
    <x:xf numFmtId="0" fontId="0" fillId="4" borderId="2" xfId="0" applyNumberFormat="1" applyFont="1" applyFill="1" applyBorder="1"/>
    <x:xf numFmtId="200" fontId="0" fillId="0" borderId="0" xfId="0" applyNumberFormat="1" applyFont="1" applyFill="1" applyBorder="1"/>
    <x:xf numFmtId="200" fontId="0" fillId="0" borderId="2" xfId="0" applyNumberFormat="1" applyFont="1" applyFill="1" applyBorder="1"/>
    <x:xf numFmtId="201" fontId="0" fillId="0" borderId="0" xfId="0" applyNumberFormat="1" applyFont="1" applyFill="1" applyBorder="1"/>
    <x:xf numFmtId="201" fontId="0" fillId="0" borderId="2"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8d4fd3c5f284ed5" /><Relationship Type="http://schemas.openxmlformats.org/officeDocument/2006/relationships/theme" Target="/xl/theme/theme1.xml" Id="Raccd5231ca064a6f" /><Relationship Type="http://schemas.openxmlformats.org/officeDocument/2006/relationships/sharedStrings" Target="/xl/sharedStrings.xml" Id="R0122699d55a8468d" /><Relationship Type="http://schemas.openxmlformats.org/officeDocument/2006/relationships/worksheet" Target="/xl/worksheets/sheet1.xml" Id="R05004dbcd3544d27" /><Relationship Type="http://schemas.openxmlformats.org/officeDocument/2006/relationships/worksheet" Target="/xl/worksheets/sheet2.xml" Id="Rfe76ee693c4b494e" /><Relationship Type="http://schemas.openxmlformats.org/officeDocument/2006/relationships/worksheet" Target="/xl/worksheets/sheet3.xml" Id="Re2ff7ca0f1134203" /><Relationship Type="http://schemas.openxmlformats.org/officeDocument/2006/relationships/worksheet" Target="/xl/worksheets/sheet4.xml" Id="R7c7f44a41dc84c1a"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51" hidden="0" customWidth="1"/>
    <x:col min="2" max="2" width="24" hidden="0" customWidth="1"/>
  </x:cols>
  <x:sheetData>
    <x:row r="1" ht="28" customHeight="1">
      <x:c r="A1" s="5" t="str">
        <x:v>Metric</x:v>
      </x:c>
      <x:c r="B1" s="5" t="str">
        <x:v>Value</x:v>
      </x:c>
    </x:row>
    <x:row r="2">
      <x:c r="A2" t="str">
        <x:v>Total evaluated cases</x:v>
      </x:c>
      <x:c r="B2" t="n">
        <x:f>'Agreement Calculation'!E7</x:f>
        <x:v>186</x:v>
      </x:c>
    </x:row>
    <x:row r="3">
      <x:c r="A3" t="str">
        <x:v>Initial reviewer agreement count</x:v>
      </x:c>
      <x:c r="B3" t="n">
        <x:f>'Agreement Calculation'!B4+'Agreement Calculation'!C5+'Agreement Calculation'!D6</x:f>
        <x:v>160</x:v>
      </x:c>
    </x:row>
    <x:row r="4">
      <x:c r="A4" t="str">
        <x:v>Initial reviewer agreement rate</x:v>
      </x:c>
      <x:c r="B4" s="21" t="n">
        <x:f>'Agreement Calculation'!B10</x:f>
        <x:v>0.8602150537634409</x:v>
      </x:c>
    </x:row>
    <x:row r="5">
      <x:c r="A5" t="str">
        <x:v>Initial disagreements</x:v>
      </x:c>
      <x:c r="B5" t="n">
        <x:f>B2-B3</x:f>
        <x:v>26</x:v>
      </x:c>
    </x:row>
    <x:row r="6">
      <x:c r="A6" t="str">
        <x:v>Adjudicated cases marked Approved</x:v>
      </x:c>
      <x:c r="B6" t="n">
        <x:f>COUNTIF('26 Adjudicated Cases'!L2:L27,"Approved")</x:f>
        <x:v>26</x:v>
      </x:c>
    </x:row>
    <x:row r="7">
      <x:c r="A7" t="str">
        <x:v>Final consensus labels completed</x:v>
      </x:c>
      <x:c r="B7" t="n">
        <x:f>COUNT('All 186 Final Consensus'!N2:N187)</x:f>
        <x:v>186</x:v>
      </x:c>
    </x:row>
    <x:row r="8">
      <x:c r="A8" t="str">
        <x:v>Cohen's kappa (pre-adjudication)</x:v>
      </x:c>
      <x:c r="B8" s="19" t="n">
        <x:f>'Agreement Calculation'!B12</x:f>
        <x:v>0.7707187559264177</x:v>
      </x:c>
    </x:row>
    <x:row r="9">
      <x:c r="A9" t="str">
        <x:v>Quadratic weighted kappa (pre-adjudication)</x:v>
      </x:c>
      <x:c r="B9" s="19" t="n">
        <x:f>'Agreement Calculation'!B16</x:f>
        <x:v>0.8782722513089005</x:v>
      </x:c>
    </x:row>
    <x:row r="10">
      <x:c r="A10" t="str">
        <x:v>Final consensus score 0</x:v>
      </x:c>
      <x:c r="B10" t="n">
        <x:f>COUNTIF('All 186 Final Consensus'!N2:N187,0)</x:f>
        <x:v>100</x:v>
      </x:c>
    </x:row>
    <x:row r="11">
      <x:c r="A11" t="str">
        <x:v>Final consensus score 1</x:v>
      </x:c>
      <x:c r="B11" t="n">
        <x:f>COUNTIF('All 186 Final Consensus'!N2:N187,1)</x:f>
        <x:v>54</x:v>
      </x:c>
    </x:row>
    <x:row r="12">
      <x:c r="A12" t="str">
        <x:v>Final consensus score 2</x:v>
      </x:c>
      <x:c r="B12" t="n">
        <x:f>COUNTIF('All 186 Final Consensus'!N2:N187,2)</x:f>
        <x:v>32</x:v>
      </x:c>
    </x:row>
    <x:row r="14">
      <x:c r="A14" s="15" t="str">
        <x:v>Methodology note</x:v>
      </x:c>
      <x:c r="B14" s="15"/>
    </x:row>
    <x:row r="15">
      <x:c r="A15" t="str">
        <x:v>Initial agreement/kappa use original reviewer scores (before adjudication).</x:v>
      </x:c>
    </x:row>
    <x:row r="16">
      <x:c r="A16" t="str">
        <x:v>Final consensus scores are separately approved labels.</x:v>
      </x:c>
    </x:row>
    <x:row r="17">
      <x:c r="A17" t="str">
        <x:v>Agreement statistics do not establish independent human review by themselves.</x:v>
      </x:c>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s="1" t="inlineStr">
        <x:is>
          <x:t xml:space="preserve">Item ID</x:t>
        </x:is>
      </x:c>
      <x:c r="B1" s="1" t="inlineStr">
        <x:is>
          <x:t xml:space="preserve">CV ID</x:t>
        </x:is>
      </x:c>
      <x:c r="C1" s="1" t="inlineStr">
        <x:is>
          <x:t xml:space="preserve">CV profile</x:t>
        </x:is>
      </x:c>
      <x:c r="D1" s="1" t="inlineStr">
        <x:is>
          <x:t xml:space="preserve">Job title</x:t>
        </x:is>
      </x:c>
      <x:c r="E1" s="1" t="inlineStr">
        <x:is>
          <x:t xml:space="preserve">Job requirements</x:t>
        </x:is>
      </x:c>
      <x:c r="F1" s="1" t="inlineStr">
        <x:is>
          <x:t xml:space="preserve">Reviewer 1</x:t>
        </x:is>
      </x:c>
      <x:c r="G1" s="1" t="inlineStr">
        <x:is>
          <x:t xml:space="preserve">Reviewer 2</x:t>
        </x:is>
      </x:c>
      <x:c r="H1" s="1" t="inlineStr">
        <x:is>
          <x:t xml:space="preserve">Suggested score</x:t>
        </x:is>
      </x:c>
      <x:c r="I1" s="1" t="inlineStr">
        <x:is>
          <x:t xml:space="preserve">Rationale (AI-assisted)</x:t>
        </x:is>
      </x:c>
      <x:c r="J1" s="1" t="inlineStr">
        <x:is>
          <x:t xml:space="preserve">Final agreed score</x:t>
        </x:is>
      </x:c>
      <x:c r="K1" s="1" t="inlineStr">
        <x:is>
          <x:t xml:space="preserve">Decision note</x:t>
        </x:is>
      </x:c>
      <x:c r="L1" s="1" t="inlineStr">
        <x:is>
          <x:t xml:space="preserve">Review status</x:t>
        </x:is>
      </x:c>
    </x:row>
    <x:row r="2">
      <x:c r="A2" t="inlineStr">
        <x:is>
          <x:t xml:space="preserve">RR-002</x:t>
        </x:is>
      </x:c>
      <x:c r="B2" t="inlineStr">
        <x:is>
          <x:t xml:space="preserve">CV-27</x:t>
        </x:is>
      </x:c>
      <x:c r="C2" t="inlineStr">
        <x:is>
          <x:t xml:space="preserve">degree: phd. experience level: senior-level. target role: cloud architect. skills: azure, scalability, solution architecture, aws, cloud computing.</x:t>
        </x:is>
      </x:c>
      <x:c r="D2" t="inlineStr">
        <x:is>
          <x:t xml:space="preserve">Receptionist/ Accounting Assistant</x:t>
        </x:is>
      </x:c>
      <x:c r="E2" t="inlineStr">
        <x:is>
          <x:t xml:space="preserve">ESSENTIAL JOB DUTIES/RESPONSIBILITIES: Ensures visitors and customers are greeted in a friendly, positive and professional manner. Receives and distributes information and data Ensures front desk runs smoothly and all behind the scenes activities are executed on a timely basis Answers incoming telephone calls, determines purpose of callers and forwards calls to appropriate person or department Other duties may include some or all of the following: Place work orders for maintenance items Compile and distribute bi-weekly spreadsheets Prepare, process and reconcile various monthly invoices, reports, letters and spreadsheets including courier and Federal Express invoices Oversee all activities related to the upkeep of the office building including the phone system and security keys Act as a liaison between upper management and other staff Relieve or act as mail clerk Oversee maintenance of copy machines Stock kitchen, oversee deliveries of various beverages and requisite supplies, and order office supplies Perform other clerical duties as needed, such as data entry, filing, photocopying, and collating Assist with mail-outs as needed Check-in incoming packages and distribute and prepare out-going mail and courier deliveries Order lunches and ensure delivery to correct areas Issue safety and contractor badges Provide accounting assistance Distribute mail to various departments in the office Administer safety orientation and tests Administer Ethics and Compliance Center System Administer service award program Update prices file daily</x:t>
        </x:is>
      </x:c>
      <x:c r="F2" t="n">
        <x:v>0</x:v>
      </x:c>
      <x:c r="G2" t="n">
        <x:v>1</x:v>
      </x:c>
      <x:c r="H2" t="n">
        <x:v>0</x:v>
      </x:c>
      <x:c r="I2" t="inlineStr">
        <x:is>
          <x:t xml:space="preserve">Cloud architecture has no substantive overlap with receptionist/accounting duties.</x:t>
        </x:is>
      </x:c>
      <x:c r="J2" t="n">
        <x:v>0</x:v>
      </x:c>
      <x:c r="K2" t="inlineStr">
        <x:is>
          <x:t xml:space="preserve">Cloud architecture has no substantive overlap with receptionist/accounting duties.</x:t>
        </x:is>
      </x:c>
      <x:c r="L2" t="inlineStr">
        <x:is>
          <x:t xml:space="preserve">Approved</x:t>
        </x:is>
      </x:c>
    </x:row>
    <x:row r="3">
      <x:c r="A3" t="inlineStr">
        <x:is>
          <x:t xml:space="preserve">RR-008</x:t>
        </x:is>
      </x:c>
      <x:c r="B3" t="inlineStr">
        <x:is>
          <x:t xml:space="preserve">CV-05</x:t>
        </x:is>
      </x:c>
      <x:c r="C3" t="inlineStr">
        <x:is>
          <x:t xml:space="preserve">degree: masters. experience level: senior-level. target role: database administrator. skills: optimization, cloud databases, sql, database management, performance tuning.</x:t>
        </x:is>
      </x:c>
      <x:c r="D3" t="inlineStr">
        <x:is>
          <x:t xml:space="preserve">Administrative Assistant</x:t>
        </x:is>
      </x:c>
      <x:c r="E3" t="inlineStr">
        <x:is>
          <x:t xml:space="preserve">Must be proficient with Microsoft Office 2-3 years of Experience as an Administrative Assistant preferably in a financial setting Four year Degree Preferred Hours are from 9-6 should be flexible for OT</x:t>
        </x:is>
      </x:c>
      <x:c r="F3" t="n">
        <x:v>0</x:v>
      </x:c>
      <x:c r="G3" t="n">
        <x:v>1</x:v>
      </x:c>
      <x:c r="H3" t="n">
        <x:v>0</x:v>
      </x:c>
      <x:c r="I3" t="inlineStr">
        <x:is>
          <x:t xml:space="preserve">Database administration is distinct from clerical administration; Office/finance experience is not shown.</x:t>
        </x:is>
      </x:c>
      <x:c r="J3" t="n">
        <x:v>0</x:v>
      </x:c>
      <x:c r="K3" t="inlineStr">
        <x:is>
          <x:t xml:space="preserve">Database administration is distinct from clerical administration; Office/finance experience is not shown.</x:t>
        </x:is>
      </x:c>
      <x:c r="L3" t="inlineStr">
        <x:is>
          <x:t xml:space="preserve">Approved</x:t>
        </x:is>
      </x:c>
    </x:row>
    <x:row r="4">
      <x:c r="A4" t="inlineStr">
        <x:is>
          <x:t xml:space="preserve">RR-012</x:t>
        </x:is>
      </x:c>
      <x:c r="B4" t="inlineStr">
        <x:is>
          <x:t xml:space="preserve">CV-13</x:t>
        </x:is>
      </x:c>
      <x:c r="C4" t="inlineStr">
        <x:is>
          <x:t xml:space="preserve">degree: bachelors. experience level: senior-level. target role: biomedical engineer. skills: clinical trials, medical devices, engineering, research, regulatory compliance.</x:t>
        </x:is>
      </x:c>
      <x:c r="D4" t="inlineStr">
        <x:is>
          <x:t xml:space="preserve">Externship Coordinator</x:t>
        </x:is>
      </x:c>
      <x:c r="E4" t="inlineStr">
        <x:is>
          <x:t xml:space="preserve">Education/Experience Associates degree or higher preferred. Minimum of 1 year of experience in education, placement, career services, staffing, business development or related field. 1+ year in the allied health field preferred Associated Knowledge, Skills &amp; Abilities Ability to multi-task and handle a high pressure environment with timeline pressures. Proven track record in professional sales or business development. Committed, with strong follow-up skills. Past success in servicing customers in a people-oriented industry. Basic computer proficiency. Dynamic, high-energy personality. Exceptional communication, presentation and interpersonal skills with the ability to establish rapport with a diverse customer base. Highly motivated, detail oriented with a can-do attitude.</x:t>
        </x:is>
      </x:c>
      <x:c r="F4" t="n">
        <x:v>0</x:v>
      </x:c>
      <x:c r="G4" t="n">
        <x:v>1</x:v>
      </x:c>
      <x:c r="H4" t="n">
        <x:v>0</x:v>
      </x:c>
      <x:c r="I4" t="inlineStr">
        <x:is>
          <x:t xml:space="preserve">Allied-health exposure is transferable, but education placement and employer outreach are not shown.</x:t>
        </x:is>
      </x:c>
      <x:c r="J4" t="n">
        <x:v>0</x:v>
      </x:c>
      <x:c r="K4" t="inlineStr">
        <x:is>
          <x:t xml:space="preserve">Allied-health exposure is transferable, but education placement and employer outreach are not shown.</x:t>
        </x:is>
      </x:c>
      <x:c r="L4" t="inlineStr">
        <x:is>
          <x:t xml:space="preserve">Approved</x:t>
        </x:is>
      </x:c>
    </x:row>
    <x:row r="5">
      <x:c r="A5" t="inlineStr">
        <x:is>
          <x:t xml:space="preserve">RR-034</x:t>
        </x:is>
      </x:c>
      <x:c r="B5" t="inlineStr">
        <x:is>
          <x:t xml:space="preserve">CV-18</x:t>
        </x:is>
      </x:c>
      <x:c r="C5" t="inlineStr">
        <x:is>
          <x:t xml:space="preserve">degree: phd. experience level: senior-level. target role: pharmacist. skills: pharmaceuticals, healthcare, medical terminology, patient consultation, medication dispensing.</x:t>
        </x:is>
      </x:c>
      <x:c r="D5" t="inlineStr">
        <x:is>
          <x:t xml:space="preserve">Sourcing / Purchasing Pharma R &amp; D</x:t>
        </x:is>
      </x:c>
      <x:c r="E5" t="inlineStr">
        <x:is>
          <x:t xml:space="preserve">- Must have a 4 year degree (technical degree strongly preferred - Chemistry/Biology/ChemE, etc.) - MBA, C.P.M. CPSM preferred - Must have 10+ yrs. professional experience; 4+ strategic sourcing in pharma R&amp;D - Should have strong relationship development, client management, and communication skills. - Experience developing / implementing sophisticated sourcing methodology (AT Kearney, IBM/PWC, McKinsey, Mitchell Madison, Archstone, Huron, Silver Oak, etc.); Operational Excellence (Six Sigma, Lean, Lean Sigma, etc.); Total Cost of Ownership - Strong preference for Fortune 500 Pharmaceutical, Med Device, Consumer Healthcare research and development</x:t>
        </x:is>
      </x:c>
      <x:c r="F5" t="n">
        <x:v>1</x:v>
      </x:c>
      <x:c r="G5" t="n">
        <x:v>2</x:v>
      </x:c>
      <x:c r="H5" t="n">
        <x:v>1</x:v>
      </x:c>
      <x:c r="I5" t="inlineStr">
        <x:is>
          <x:t xml:space="preserve">Pharma domain matches, but senior strategic procurement and sourcing experience are not evidenced.</x:t>
        </x:is>
      </x:c>
      <x:c r="J5" t="n">
        <x:v>1</x:v>
      </x:c>
      <x:c r="K5" t="inlineStr">
        <x:is>
          <x:t xml:space="preserve">Pharma domain matches, but senior strategic procurement and sourcing experience are not evidenced.</x:t>
        </x:is>
      </x:c>
      <x:c r="L5" t="inlineStr">
        <x:is>
          <x:t xml:space="preserve">Approved</x:t>
        </x:is>
      </x:c>
    </x:row>
    <x:row r="6">
      <x:c r="A6" t="inlineStr">
        <x:is>
          <x:t xml:space="preserve">RR-043</x:t>
        </x:is>
      </x:c>
      <x:c r="B6" t="inlineStr">
        <x:is>
          <x:t xml:space="preserve">CV-02</x:t>
        </x:is>
      </x:c>
      <x:c r="C6" t="inlineStr">
        <x:is>
          <x:t xml:space="preserve">degree: bachelors. experience level: mid-level. target role: physician. skills: healthcare, pharmacology, medical terminology, patient care, surgical skills.</x:t>
        </x:is>
      </x:c>
      <x:c r="D6" t="inlineStr">
        <x:is>
          <x:t xml:space="preserve">CUSTOMER SERVICE</x:t>
        </x:is>
      </x:c>
      <x:c r="E6" t="inlineStr">
        <x:is>
          <x:t xml:space="preserve">Must be able to start immediately and have no felony background.</x:t>
        </x:is>
      </x:c>
      <x:c r="F6" t="n">
        <x:v>0</x:v>
      </x:c>
      <x:c r="G6" t="n">
        <x:v>1</x:v>
      </x:c>
      <x:c r="H6" t="n">
        <x:v>0</x:v>
      </x:c>
      <x:c r="I6" t="inlineStr">
        <x:is>
          <x:t xml:space="preserve">Physician/patient-care background does not match a generic customer-service role.</x:t>
        </x:is>
      </x:c>
      <x:c r="J6" t="n">
        <x:v>0</x:v>
      </x:c>
      <x:c r="K6" t="inlineStr">
        <x:is>
          <x:t xml:space="preserve">Physician/patient-care background does not match a generic customer-service role.</x:t>
        </x:is>
      </x:c>
      <x:c r="L6" t="inlineStr">
        <x:is>
          <x:t xml:space="preserve">Approved</x:t>
        </x:is>
      </x:c>
    </x:row>
    <x:row r="7">
      <x:c r="A7" t="inlineStr">
        <x:is>
          <x:t xml:space="preserve">RR-050</x:t>
        </x:is>
      </x:c>
      <x:c r="B7" t="inlineStr">
        <x:is>
          <x:t xml:space="preserve">CV-06</x:t>
        </x:is>
      </x:c>
      <x:c r="C7" t="inlineStr">
        <x:is>
          <x:t xml:space="preserve">degree: phd. experience level: mid-level. target role: architect. skills: 3d modeling, project management, sustainable design, construction management, urban planning.</x:t>
        </x:is>
      </x:c>
      <x:c r="D7" t="inlineStr">
        <x:is>
          <x:t xml:space="preserve">Property Manager</x:t>
        </x:is>
      </x:c>
      <x:c r="E7" t="inlineStr">
        <x:is>
          <x:t xml:space="preserve">Interested applicants must possess the following skills: Good communication, organizational, some knowledge of finance, positive attitude and a willingness to learn. You must be a self-starter, enthusiastic Experienced in the supervision of an apartment community. You must possess fantastic supervisory skills and a thorough knowledge of all phases of apartment management. Organizational skills a priority. You must be able to learn, implement and support company policies and procedures.</x:t>
        </x:is>
      </x:c>
      <x:c r="F7" t="n">
        <x:v>0</x:v>
      </x:c>
      <x:c r="G7" t="n">
        <x:v>1</x:v>
      </x:c>
      <x:c r="H7" t="n">
        <x:v>0</x:v>
      </x:c>
      <x:c r="I7" t="inlineStr">
        <x:is>
          <x:t xml:space="preserve">Construction project skills are transferable, but apartment/property operations experience is missing.</x:t>
        </x:is>
      </x:c>
      <x:c r="J7" t="n">
        <x:v>0</x:v>
      </x:c>
      <x:c r="K7" t="inlineStr">
        <x:is>
          <x:t xml:space="preserve">Construction project skills are transferable, but apartment/property operations experience is missing.</x:t>
        </x:is>
      </x:c>
      <x:c r="L7" t="inlineStr">
        <x:is>
          <x:t xml:space="preserve">Approved</x:t>
        </x:is>
      </x:c>
    </x:row>
    <x:row r="8">
      <x:c r="A8" t="inlineStr">
        <x:is>
          <x:t xml:space="preserve">RR-052</x:t>
        </x:is>
      </x:c>
      <x:c r="B8" t="inlineStr">
        <x:is>
          <x:t xml:space="preserve">CV-16</x:t>
        </x:is>
      </x:c>
      <x:c r="C8" t="inlineStr">
        <x:is>
          <x:t xml:space="preserve">degree: masters. experience level: senior-level. target role: product manager. skills: leadership, product development, cross-functional collaboration, agile, team coordination.</x:t>
        </x:is>
      </x:c>
      <x:c r="D8" t="inlineStr">
        <x:is>
          <x:t xml:space="preserve">Customer Relationship Manager</x:t>
        </x:is>
      </x:c>
      <x:c r="E8" t="inlineStr">
        <x:is>
          <x:t xml:space="preserve">KNOWLEDGE/SKILLS/EXPERIENCE: A 6-10 year history of successful account / customer management, with a passion for meeting customer expectations. Ability to develop strong customer relationships with mid to high level business partners. A background in the business to business sector, with experience in fast-moving consumer goods, or services. Experience in managing multiple and complex business relationships. Ability to influence and lead in a matrix management structure environment. Demonstrates high intellect, strong interpersonal skills, integrity and potential for increased responsibility. Expectation of frequent overnight travel within a geographic region. An independent, ambitious, and energetic individual who is looking to make a positive Rexam experience for customers. Strongly aligned with Rexam values of Trust, Recognition, Teamwork and Continuous Improvement.</x:t>
        </x:is>
      </x:c>
      <x:c r="F8" t="n">
        <x:v>1</x:v>
      </x:c>
      <x:c r="G8" t="n">
        <x:v>2</x:v>
      </x:c>
      <x:c r="H8" t="n">
        <x:v>1</x:v>
      </x:c>
      <x:c r="I8" t="inlineStr">
        <x:is>
          <x:t xml:space="preserve">Leadership and cross-functional coordination overlap, but B2B account management is not established.</x:t>
        </x:is>
      </x:c>
      <x:c r="J8" t="n">
        <x:v>1</x:v>
      </x:c>
      <x:c r="K8" t="inlineStr">
        <x:is>
          <x:t xml:space="preserve">Leadership and cross-functional coordination overlap, but B2B account management is not established.</x:t>
        </x:is>
      </x:c>
      <x:c r="L8" t="inlineStr">
        <x:is>
          <x:t xml:space="preserve">Approved</x:t>
        </x:is>
      </x:c>
    </x:row>
    <x:row r="9">
      <x:c r="A9" t="inlineStr">
        <x:is>
          <x:t xml:space="preserve">RR-054</x:t>
        </x:is>
      </x:c>
      <x:c r="B9" t="inlineStr">
        <x:is>
          <x:t xml:space="preserve">CV-15</x:t>
        </x:is>
      </x:c>
      <x:c r="C9" t="inlineStr">
        <x:is>
          <x:t xml:space="preserve">degree: masters. experience level: mid-level. target role: systems analyst. skills: data analysis, systems integration, project management, sql, business process modeling.</x:t>
        </x:is>
      </x:c>
      <x:c r="D9" t="inlineStr">
        <x:is>
          <x:t xml:space="preserve">Business Analyst</x:t>
        </x:is>
      </x:c>
      <x:c r="E9" t="inlineStr">
        <x:is>
          <x:t xml:space="preserve">.</x:t>
        </x:is>
      </x:c>
      <x:c r="F9" t="n">
        <x:v>2</x:v>
      </x:c>
      <x:c r="G9" t="n">
        <x:v>1</x:v>
      </x:c>
      <x:c r="H9" t="n">
        <x:v>2</x:v>
      </x:c>
      <x:c r="I9" t="inlineStr">
        <x:is>
          <x:t xml:space="preserve">Requirements gathering, systems architecture and UAT closely align with systems analysis skills.</x:t>
        </x:is>
      </x:c>
      <x:c r="J9" t="n">
        <x:v>2</x:v>
      </x:c>
      <x:c r="K9" t="inlineStr">
        <x:is>
          <x:t xml:space="preserve">Requirements gathering, systems architecture and UAT closely align with systems analysis skills.</x:t>
        </x:is>
      </x:c>
      <x:c r="L9" t="inlineStr">
        <x:is>
          <x:t xml:space="preserve">Approved</x:t>
        </x:is>
      </x:c>
    </x:row>
    <x:row r="10">
      <x:c r="A10" t="inlineStr">
        <x:is>
          <x:t xml:space="preserve">RR-068</x:t>
        </x:is>
      </x:c>
      <x:c r="B10" t="inlineStr">
        <x:is>
          <x:t xml:space="preserve">CV-04</x:t>
        </x:is>
      </x:c>
      <x:c r="C10" t="inlineStr">
        <x:is>
          <x:t xml:space="preserve">degree: masters. experience level: senior-level. target role: supply chain manager. skills: budgeting, supply chain optimization, risk management, logistics, project management.</x:t>
        </x:is>
      </x:c>
      <x:c r="D10" t="inlineStr">
        <x:is>
          <x:t xml:space="preserve">CATEGORY BUYER</x:t>
        </x:is>
      </x:c>
      <x:c r="E10" t="inlineStr">
        <x:is>
          <x:t xml:space="preserve">3-5 years experience in category management/strategic sourcing/supply chain Bachelors degree in a business related discipline Strong business acumen Experience with project management, negotiation and supplier management Excellent communication and strong negotiation skills Ability to successfully multi-task in a fast-paced environment This position requires an individual who is self-directed and detail-oriented with an inquisitive nature and the desire to solve problems A strong work ethic with a positive "can-do" attitude and one who takes pride in the quality of their work</x:t>
        </x:is>
      </x:c>
      <x:c r="F10" t="n">
        <x:v>1</x:v>
      </x:c>
      <x:c r="G10" t="n">
        <x:v>2</x:v>
      </x:c>
      <x:c r="H10" t="n">
        <x:v>1</x:v>
      </x:c>
      <x:c r="I10" t="inlineStr">
        <x:is>
          <x:t xml:space="preserve">Supply-chain and project skills overlap; category buying, negotiation and supplier management are not stated.</x:t>
        </x:is>
      </x:c>
      <x:c r="J10" t="n">
        <x:v>1</x:v>
      </x:c>
      <x:c r="K10" t="inlineStr">
        <x:is>
          <x:t xml:space="preserve">Supply-chain and project skills overlap; category buying, negotiation and supplier management are not stated.</x:t>
        </x:is>
      </x:c>
      <x:c r="L10" t="inlineStr">
        <x:is>
          <x:t xml:space="preserve">Approved</x:t>
        </x:is>
      </x:c>
    </x:row>
    <x:row r="11">
      <x:c r="A11" t="inlineStr">
        <x:is>
          <x:t xml:space="preserve">RR-078</x:t>
        </x:is>
      </x:c>
      <x:c r="B11" t="inlineStr">
        <x:is>
          <x:t xml:space="preserve">CV-01</x:t>
        </x:is>
      </x:c>
      <x:c r="C11" t="inlineStr">
        <x:is>
          <x:t xml:space="preserve">degree: bachelors. experience level: mid-level. target role: fitness coach. skills: injury prevention, motivation, nutrition, health coaching, strength training.</x:t>
        </x:is>
      </x:c>
      <x:c r="D11" t="inlineStr">
        <x:is>
          <x:t xml:space="preserve">Secretary - Immediate Opening</x:t>
        </x:is>
      </x:c>
      <x:c r="E11" t="inlineStr">
        <x:is>
          <x:t xml:space="preserve">◦ EDUCATION &amp; EXPERIENCE Bachelor degree in business. Candidate must possess at least 3 years inside sales experience with excellent communication and problem solving skills. Must be self-motivated, have the ability to multitask well, ability to work independently with time constraints as well as a good team player. ◦ LANGUAGE SKILLS Positions requires ability to read and comprehend simple instructions, short correspondence, and memos. Ability to write simple correspondence. Ability to effectively present information in one-on-one and small group situations to supervisors, co-workers, customers and vendors. Bilingual: English and Spanish a must. ◦ MATHEMATICAL SKILLS Position requires ability to add, subtract, multiply, and divide in all units of measure, using whole numbers, common fractions, and decimals. ◦ COMPUTER SKILLS Position requires ability to understand and utilize Microsoft Office (Word and Excel ). Please include your DESIRED SALARY on the resume.</x:t>
        </x:is>
      </x:c>
      <x:c r="F11" t="n">
        <x:v>0</x:v>
      </x:c>
      <x:c r="G11" t="n">
        <x:v>1</x:v>
      </x:c>
      <x:c r="H11" t="n">
        <x:v>0</x:v>
      </x:c>
      <x:c r="I11" t="inlineStr">
        <x:is>
          <x:t xml:space="preserve">Fitness coaching does not align with administrative and inside-sales requirements.</x:t>
        </x:is>
      </x:c>
      <x:c r="J11" t="n">
        <x:v>0</x:v>
      </x:c>
      <x:c r="K11" t="inlineStr">
        <x:is>
          <x:t xml:space="preserve">Fitness coaching does not align with administrative and inside-sales requirements.</x:t>
        </x:is>
      </x:c>
      <x:c r="L11" t="inlineStr">
        <x:is>
          <x:t xml:space="preserve">Approved</x:t>
        </x:is>
      </x:c>
    </x:row>
    <x:row r="12">
      <x:c r="A12" t="inlineStr">
        <x:is>
          <x:t xml:space="preserve">RR-086</x:t>
        </x:is>
      </x:c>
      <x:c r="B12" t="inlineStr">
        <x:is>
          <x:t xml:space="preserve">CV-21</x:t>
        </x:is>
      </x:c>
      <x:c r="C12" t="inlineStr">
        <x:is>
          <x:t xml:space="preserve">degree: bachelors. experience level: mid-level. target role: data analyst. skills: sql, data reporting, excel, statistics, data analysis.</x:t>
        </x:is>
      </x:c>
      <x:c r="D12" t="inlineStr">
        <x:is>
          <x:t xml:space="preserve">Operations Excel Analyst</x:t>
        </x:is>
      </x:c>
      <x:c r="E12" t="inlineStr">
        <x:is>
          <x:t xml:space="preserve">Required Skills: “Must" have these skills to be minimally qualified. Intermediate to Advanced Excel experience including extensive experience creating and manipulating spreadsheets, using V-Lookup, and creating Pivot Tables for management review. Ability to communicate effectively both orally and in writing with internal and external customers. Excellent time management and organizational skills. Demonstrates strong critical thinking skills and reasoning ability Provide accurate and timely feedback for all projects and initiatives. Ability to work in a fast-paced environment. Excellent analytical skills and must be detail oriented. Looking for candidates with Bachelor Degree level of education. Work Hours: 8-5 Monday through Friday This is a contract opportunity.</x:t>
        </x:is>
      </x:c>
      <x:c r="F12" t="n">
        <x:v>2</x:v>
      </x:c>
      <x:c r="G12" t="n">
        <x:v>1</x:v>
      </x:c>
      <x:c r="H12" t="n">
        <x:v>2</x:v>
      </x:c>
      <x:c r="I12" t="inlineStr">
        <x:is>
          <x:t xml:space="preserve">Excel, reporting and analysis closely align with data analyst profile; advanced Excel functions need verification.</x:t>
        </x:is>
      </x:c>
      <x:c r="J12" t="n">
        <x:v>2</x:v>
      </x:c>
      <x:c r="K12" t="inlineStr">
        <x:is>
          <x:t xml:space="preserve">Excel, reporting and analysis closely align with data analyst profile; advanced Excel functions need verification.</x:t>
        </x:is>
      </x:c>
      <x:c r="L12" t="inlineStr">
        <x:is>
          <x:t xml:space="preserve">Approved</x:t>
        </x:is>
      </x:c>
    </x:row>
    <x:row r="13">
      <x:c r="A13" t="inlineStr">
        <x:is>
          <x:t xml:space="preserve">RR-102</x:t>
        </x:is>
      </x:c>
      <x:c r="B13" t="inlineStr">
        <x:is>
          <x:t xml:space="preserve">CV-13</x:t>
        </x:is>
      </x:c>
      <x:c r="C13" t="inlineStr">
        <x:is>
          <x:t xml:space="preserve">degree: bachelors. experience level: senior-level. target role: biomedical engineer. skills: clinical trials, medical devices, engineering, research, regulatory compliance.</x:t>
        </x:is>
      </x:c>
      <x:c r="D13" t="inlineStr">
        <x:is>
          <x:t xml:space="preserve">Medical Asst</x:t>
        </x:is>
      </x:c>
      <x:c r="E13" t="inlineStr">
        <x:is>
          <x:t xml:space="preserve">Please refer to the Job Description to view the requirements for this job</x:t>
        </x:is>
      </x:c>
      <x:c r="F13" t="n">
        <x:v>0</x:v>
      </x:c>
      <x:c r="G13" t="n">
        <x:v>1</x:v>
      </x:c>
      <x:c r="H13" t="n">
        <x:v>0</x:v>
      </x:c>
      <x:c r="I13" t="inlineStr">
        <x:is>
          <x:t xml:space="preserve">Biomedical engineering does not establish clinical medical-assistant responsibilities.</x:t>
        </x:is>
      </x:c>
      <x:c r="J13" t="n">
        <x:v>0</x:v>
      </x:c>
      <x:c r="K13" t="inlineStr">
        <x:is>
          <x:t xml:space="preserve">Biomedical engineering does not establish clinical medical-assistant responsibilities.</x:t>
        </x:is>
      </x:c>
      <x:c r="L13" t="inlineStr">
        <x:is>
          <x:t xml:space="preserve">Approved</x:t>
        </x:is>
      </x:c>
    </x:row>
    <x:row r="14">
      <x:c r="A14" t="inlineStr">
        <x:is>
          <x:t xml:space="preserve">RR-110</x:t>
        </x:is>
      </x:c>
      <x:c r="B14" t="inlineStr">
        <x:is>
          <x:t xml:space="preserve">CV-25</x:t>
        </x:is>
      </x:c>
      <x:c r="C14" t="inlineStr">
        <x:is>
          <x:t xml:space="preserve">degree: phd. experience level: senior-level. target role: graphic designer. skills: photo editing, branding, web design, adobe photoshop, typography.</x:t>
        </x:is>
      </x:c>
      <x:c r="D14" t="inlineStr">
        <x:is>
          <x:t xml:space="preserve">Seeking an Administrative Assistant / Receptionist</x:t>
        </x:is>
      </x:c>
      <x:c r="E14" t="inlineStr">
        <x:is>
          <x:t xml:space="preserve">- Minimum 2 years experience as a Receptionist / Administrative Assistant - Excellent written and interpersonal communication skills - Excellent Knowledge of MS Excel</x:t>
        </x:is>
      </x:c>
      <x:c r="F14" t="n">
        <x:v>0</x:v>
      </x:c>
      <x:c r="G14" t="n">
        <x:v>1</x:v>
      </x:c>
      <x:c r="H14" t="n">
        <x:v>0</x:v>
      </x:c>
      <x:c r="I14" t="inlineStr">
        <x:is>
          <x:t xml:space="preserve">Graphic design skills do not meet receptionist/administrative experience requirements.</x:t>
        </x:is>
      </x:c>
      <x:c r="J14" t="n">
        <x:v>0</x:v>
      </x:c>
      <x:c r="K14" t="inlineStr">
        <x:is>
          <x:t xml:space="preserve">Graphic design skills do not meet receptionist/administrative experience requirements.</x:t>
        </x:is>
      </x:c>
      <x:c r="L14" t="inlineStr">
        <x:is>
          <x:t xml:space="preserve">Approved</x:t>
        </x:is>
      </x:c>
    </x:row>
    <x:row r="15">
      <x:c r="A15" t="inlineStr">
        <x:is>
          <x:t xml:space="preserve">RR-113</x:t>
        </x:is>
      </x:c>
      <x:c r="B15" t="inlineStr">
        <x:is>
          <x:t xml:space="preserve">CV-23</x:t>
        </x:is>
      </x:c>
      <x:c r="C15" t="inlineStr">
        <x:is>
          <x:t xml:space="preserve">degree: phd. experience level: senior-level. target role: civil engineer. skills: materials testing, risk assessment, structural design, soil mechanics, construction management.</x:t>
        </x:is>
      </x:c>
      <x:c r="D15" t="inlineStr">
        <x:is>
          <x:t xml:space="preserve">Customer Service / Administrative Support</x:t>
        </x:is>
      </x:c>
      <x:c r="E15" t="inlineStr">
        <x:is>
          <x:t xml:space="preserve">Please refer to the Job Description to view the requirements for this job</x:t>
        </x:is>
      </x:c>
      <x:c r="F15" t="n">
        <x:v>0</x:v>
      </x:c>
      <x:c r="G15" t="n">
        <x:v>1</x:v>
      </x:c>
      <x:c r="H15" t="n">
        <x:v>0</x:v>
      </x:c>
      <x:c r="I15" t="inlineStr">
        <x:is>
          <x:t xml:space="preserve">Civil engineering skills do not match customer-service administrative support.</x:t>
        </x:is>
      </x:c>
      <x:c r="J15" t="n">
        <x:v>0</x:v>
      </x:c>
      <x:c r="K15" t="inlineStr">
        <x:is>
          <x:t xml:space="preserve">Civil engineering skills do not match customer-service administrative support.</x:t>
        </x:is>
      </x:c>
      <x:c r="L15" t="inlineStr">
        <x:is>
          <x:t xml:space="preserve">Approved</x:t>
        </x:is>
      </x:c>
    </x:row>
    <x:row r="16">
      <x:c r="A16" t="inlineStr">
        <x:is>
          <x:t xml:space="preserve">RR-116</x:t>
        </x:is>
      </x:c>
      <x:c r="B16" t="inlineStr">
        <x:is>
          <x:t xml:space="preserve">CV-12</x:t>
        </x:is>
      </x:c>
      <x:c r="C16" t="inlineStr">
        <x:is>
          <x:t xml:space="preserve">degree: phd. experience level: senior-level. target role: personal trainer. skills: fitness, anatomy, injury prevention, nutrition, exercise planning.</x:t>
        </x:is>
      </x:c>
      <x:c r="D16" t="inlineStr">
        <x:is>
          <x:t xml:space="preserve">Registration Coordinator</x:t>
        </x:is>
      </x:c>
      <x:c r="E16" t="inlineStr">
        <x:is>
          <x:t xml:space="preserve">Minimum Experience: 2 Preferred Experience: *High school graduate or equivalent. *One year previous experience or some hospital clerical experience or medical terminology preferred. *Must have the skills necessary to operate the office equipment required to fulfill job duties. *Forty-five (45) wpm typing skills required. *Medical terminology and computer experience beneficial *Good communication skills.</x:t>
        </x:is>
      </x:c>
      <x:c r="F16" t="n">
        <x:v>0</x:v>
      </x:c>
      <x:c r="G16" t="n">
        <x:v>1</x:v>
      </x:c>
      <x:c r="H16" t="n">
        <x:v>0</x:v>
      </x:c>
      <x:c r="I16" t="inlineStr">
        <x:is>
          <x:t xml:space="preserve">Fitness training does not establish hospital registration or clerical skills.</x:t>
        </x:is>
      </x:c>
      <x:c r="J16" t="n">
        <x:v>0</x:v>
      </x:c>
      <x:c r="K16" t="inlineStr">
        <x:is>
          <x:t xml:space="preserve">Fitness training does not establish hospital registration or clerical skills.</x:t>
        </x:is>
      </x:c>
      <x:c r="L16" t="inlineStr">
        <x:is>
          <x:t xml:space="preserve">Approved</x:t>
        </x:is>
      </x:c>
    </x:row>
    <x:row r="17">
      <x:c r="A17" t="inlineStr">
        <x:is>
          <x:t xml:space="preserve">RR-119</x:t>
        </x:is>
      </x:c>
      <x:c r="B17" t="inlineStr">
        <x:is>
          <x:t xml:space="preserve">CV-23</x:t>
        </x:is>
      </x:c>
      <x:c r="C17" t="inlineStr">
        <x:is>
          <x:t xml:space="preserve">degree: phd. experience level: senior-level. target role: civil engineer. skills: materials testing, risk assessment, structural design, soil mechanics, construction management.</x:t>
        </x:is>
      </x:c>
      <x:c r="D17" t="inlineStr">
        <x:is>
          <x:t xml:space="preserve">Senior Estimator</x:t>
        </x:is>
      </x:c>
      <x:c r="E17" t="inlineStr">
        <x:is>
          <x:t xml:space="preserve">Qualifications: Must have 10+ years experience in civil construction engineering estimating experience Must have directly related experience in estimating projects $100M+ Design-build and PPP experience a must Must have working knowledge of construction assemblies and all project phases Proven ability to produce accurate estimates from conceptual and schematic drawings Proven ability to produce detailed, final contract estimates Proven ability to assess site exposures/construction risks and be able to appropriately analyze cost and reflect these in an estimate Proven ability to identify constructability issues through the estimating process Proven ability to identify value-engineering alternatives Must have excellent written and verbal communication skills Must be flexible with work schedule; travel within Florida approximately 10% Must work well with all levels within the organization Must work well as a team Valid Florida driver's license and satisfactory driving record Working experience on HCSS a plus</x:t>
        </x:is>
      </x:c>
      <x:c r="F17" t="n">
        <x:v>1</x:v>
      </x:c>
      <x:c r="G17" t="n">
        <x:v>0</x:v>
      </x:c>
      <x:c r="H17" t="n">
        <x:v>1</x:v>
      </x:c>
      <x:c r="I17" t="inlineStr">
        <x:is>
          <x:t xml:space="preserve">Civil construction and risk skills overlap, but 10+ years of estimating and major-project bidding are not shown.</x:t>
        </x:is>
      </x:c>
      <x:c r="J17" t="n">
        <x:v>1</x:v>
      </x:c>
      <x:c r="K17" t="inlineStr">
        <x:is>
          <x:t xml:space="preserve">Civil construction and risk skills overlap, but 10+ years of estimating and major-project bidding are not shown.</x:t>
        </x:is>
      </x:c>
      <x:c r="L17" t="inlineStr">
        <x:is>
          <x:t xml:space="preserve">Approved</x:t>
        </x:is>
      </x:c>
    </x:row>
    <x:row r="18">
      <x:c r="A18" t="inlineStr">
        <x:is>
          <x:t xml:space="preserve">RR-124</x:t>
        </x:is>
      </x:c>
      <x:c r="B18" t="inlineStr">
        <x:is>
          <x:t xml:space="preserve">CV-01</x:t>
        </x:is>
      </x:c>
      <x:c r="C18" t="inlineStr">
        <x:is>
          <x:t xml:space="preserve">degree: bachelors. experience level: mid-level. target role: fitness coach. skills: injury prevention, motivation, nutrition, health coaching, strength training.</x:t>
        </x:is>
      </x:c>
      <x:c r="D18" t="inlineStr">
        <x:is>
          <x:t xml:space="preserve">Sports Minded Professional Entry Level Management Opportunities</x:t>
        </x:is>
      </x:c>
      <x:c r="E18" t="inlineStr">
        <x:is>
          <x:t xml:space="preserve">- Bachelors Degree (preferred but not required) - Ability To Work Well As A Team As Well As Individually - Positive, Solution Oriented Mindset - Sense Of Humor (You will make mistakes here, it is much easier if you laugh at them) - Strong Work Ethic (We Believe We Can Train The Rest) Benefits: - Medical Benefits Available - No Seniority/Promotions Based On Performance - Rapid Growth -Steady Schedule (no nights or weekends) - On The Job Training In The Areas Of Management, Negotiation, Marketing, Human Resources, and Coaching We do NOT do telemarketing. All client interactions are conducted face to face. To Apply For This Position Please apply BY CLICKING ON THE APPLY NOW TAB, or simply CLICK HERE TO APPLY. - You can also contact Jackie at 619-684-3890. We do not leave emails sitting in the inbox and will be reviewing all resumes within 24 hours of receipt. If we would like more information and discuss an interview we will be contacting prospects within 1-2 days of receiving the resume. You can check out our website &amp; other links below Website Google Profile Blogspot Facebook</x:t>
        </x:is>
      </x:c>
      <x:c r="F18" t="n">
        <x:v>0</x:v>
      </x:c>
      <x:c r="G18" t="n">
        <x:v>1</x:v>
      </x:c>
      <x:c r="H18" t="n">
        <x:v>0</x:v>
      </x:c>
      <x:c r="I18" t="inlineStr">
        <x:is>
          <x:t xml:space="preserve">Despite 'sports minded' branding, this is sales/account management, not fitness coaching.</x:t>
        </x:is>
      </x:c>
      <x:c r="J18" t="n">
        <x:v>0</x:v>
      </x:c>
      <x:c r="K18" t="inlineStr">
        <x:is>
          <x:t xml:space="preserve">Despite 'sports minded' branding, this is sales/account management, not fitness coaching.</x:t>
        </x:is>
      </x:c>
      <x:c r="L18" t="inlineStr">
        <x:is>
          <x:t xml:space="preserve">Approved</x:t>
        </x:is>
      </x:c>
    </x:row>
    <x:row r="19">
      <x:c r="A19" t="inlineStr">
        <x:is>
          <x:t xml:space="preserve">RR-131</x:t>
        </x:is>
      </x:c>
      <x:c r="B19" t="inlineStr">
        <x:is>
          <x:t xml:space="preserve">CV-07</x:t>
        </x:is>
      </x:c>
      <x:c r="C19" t="inlineStr">
        <x:is>
          <x:t xml:space="preserve">degree: bachelors. experience level: senior-level. target role: operations manager. skills: project management, leadership, supply chain management, customer service, risk management.</x:t>
        </x:is>
      </x:c>
      <x:c r="D19" t="inlineStr">
        <x:is>
          <x:t xml:space="preserve">Project Manager</x:t>
        </x:is>
      </x:c>
      <x:c r="E19" t="inlineStr">
        <x:is>
          <x:t xml:space="preserve">Qualified candidates must have a Bachelor’s degree and a minimum of (4) years experience in a Project Management role. Industry specific experience is preferred! Must have a thorough knowledge of sales process, routes to market, knowledge of manufacturing processes and installation methods. Must be proficient in Microsoft office software and have experience with a CRM system and excellent AutoCad proficiency. Successful candidate will be self-starters, posses an energetic personality, have the ability to work independently, as well as with a team with a proactive approach and an eagerness to learn. Excellent written and oral communication skills are a must! We offer a competitive salary, full benefits and many other perks! Highly motivated, articulate and customer focused candidates are encouraged to apply in confidence to: bbatkoski@oasisadvantage.com. EOE</x:t>
        </x:is>
      </x:c>
      <x:c r="F19" t="n">
        <x:v>1</x:v>
      </x:c>
      <x:c r="G19" t="n">
        <x:v>0</x:v>
      </x:c>
      <x:c r="H19" t="n">
        <x:v>1</x:v>
      </x:c>
      <x:c r="I19" t="inlineStr">
        <x:is>
          <x:t xml:space="preserve">Project and operations management transfer, but carpet/manufacturing, sales and AutoCAD skills are not shown.</x:t>
        </x:is>
      </x:c>
      <x:c r="J19" t="n">
        <x:v>1</x:v>
      </x:c>
      <x:c r="K19" t="inlineStr">
        <x:is>
          <x:t xml:space="preserve">Project and operations management transfer, but carpet/manufacturing, sales and AutoCAD skills are not shown.</x:t>
        </x:is>
      </x:c>
      <x:c r="L19" t="inlineStr">
        <x:is>
          <x:t xml:space="preserve">Approved</x:t>
        </x:is>
      </x:c>
    </x:row>
    <x:row r="20">
      <x:c r="A20" t="inlineStr">
        <x:is>
          <x:t xml:space="preserve">RR-135</x:t>
        </x:is>
      </x:c>
      <x:c r="B20" t="inlineStr">
        <x:is>
          <x:t xml:space="preserve">CV-17</x:t>
        </x:is>
      </x:c>
      <x:c r="C20" t="inlineStr">
        <x:is>
          <x:t xml:space="preserve">degree: bachelors. experience level: senior-level. target role: content writer. skills: research, creative writing, blogging, editing, communication.</x:t>
        </x:is>
      </x:c>
      <x:c r="D20" t="inlineStr">
        <x:is>
          <x:t xml:space="preserve">HR Generalist</x:t>
        </x:is>
      </x:c>
      <x:c r="E20" t="inlineStr">
        <x:is>
          <x:t xml:space="preserve">Candidates should also have the following skill set and background: Strong organizational skills and ability to multi-task Math skills in order to handle various reports and payroll processing Solid communication skills both written and verbal Outgoing and driven personality with the ability to take initiative and projects Professional and polished demeanor Bachelors Degree desired Compensation: $40-48,000 Depending on Experience All interested candidates; please email your resume to Ashley.Perkins@expresspros.com . Thank you for your interest!</x:t>
        </x:is>
      </x:c>
      <x:c r="F20" t="n">
        <x:v>0</x:v>
      </x:c>
      <x:c r="G20" t="n">
        <x:v>1</x:v>
      </x:c>
      <x:c r="H20" t="n">
        <x:v>0</x:v>
      </x:c>
      <x:c r="I20" t="inlineStr">
        <x:is>
          <x:t xml:space="preserve">Communication transfers, but HR generalist, payroll and employee relations experience is absent.</x:t>
        </x:is>
      </x:c>
      <x:c r="J20" t="n">
        <x:v>0</x:v>
      </x:c>
      <x:c r="K20" t="inlineStr">
        <x:is>
          <x:t xml:space="preserve">Communication transfers, but HR generalist, payroll and employee relations experience is absent.</x:t>
        </x:is>
      </x:c>
      <x:c r="L20" t="inlineStr">
        <x:is>
          <x:t xml:space="preserve">Approved</x:t>
        </x:is>
      </x:c>
    </x:row>
    <x:row r="21">
      <x:c r="A21" t="inlineStr">
        <x:is>
          <x:t xml:space="preserve">RR-136</x:t>
        </x:is>
      </x:c>
      <x:c r="B21" t="inlineStr">
        <x:is>
          <x:t xml:space="preserve">CV-15</x:t>
        </x:is>
      </x:c>
      <x:c r="C21" t="inlineStr">
        <x:is>
          <x:t xml:space="preserve">degree: masters. experience level: mid-level. target role: systems analyst. skills: data analysis, systems integration, project management, sql, business process modeling.</x:t>
        </x:is>
      </x:c>
      <x:c r="D21" t="inlineStr">
        <x:is>
          <x:t xml:space="preserve">Data Entry Processor</x:t>
        </x:is>
      </x:c>
      <x:c r="E21" t="inlineStr">
        <x:is>
          <x:t xml:space="preserve">Experience Level: 1-3 Years Education Level: High School/G.E.D. High school diploma Strong analystical skills with excellent aptitude for figures Ability to function in a high-volume environment with minimum supervision Excellent verbal communication skills, including the ability to handle difficult situations with tact, empathy, and professionalism. Ability to handle multiple tasks and prioritize properly Computer literate with working knowledge of Microsoft Word</x:t>
        </x:is>
      </x:c>
      <x:c r="F21" t="n">
        <x:v>0</x:v>
      </x:c>
      <x:c r="G21" t="n">
        <x:v>1</x:v>
      </x:c>
      <x:c r="H21" t="n">
        <x:v>0</x:v>
      </x:c>
      <x:c r="I21" t="inlineStr">
        <x:is>
          <x:t xml:space="preserve">Data entry is clerical and well below systems-analysis responsibilities despite some analytical overlap.</x:t>
        </x:is>
      </x:c>
      <x:c r="J21" t="n">
        <x:v>0</x:v>
      </x:c>
      <x:c r="K21" t="inlineStr">
        <x:is>
          <x:t xml:space="preserve">Data entry is clerical and well below systems-analysis responsibilities despite some analytical overlap.</x:t>
        </x:is>
      </x:c>
      <x:c r="L21" t="inlineStr">
        <x:is>
          <x:t xml:space="preserve">Approved</x:t>
        </x:is>
      </x:c>
    </x:row>
    <x:row r="22">
      <x:c r="A22" t="inlineStr">
        <x:is>
          <x:t xml:space="preserve">RR-146</x:t>
        </x:is>
      </x:c>
      <x:c r="B22" t="inlineStr">
        <x:is>
          <x:t xml:space="preserve">CV-03</x:t>
        </x:is>
      </x:c>
      <x:c r="C22" t="inlineStr">
        <x:is>
          <x:t xml:space="preserve">degree: phd. experience level: senior-level. target role: financial analyst. skills: forecasting, financial modelling, excel, budgeting, market research.</x:t>
        </x:is>
      </x:c>
      <x:c r="D22" t="inlineStr">
        <x:is>
          <x:t xml:space="preserve">Junior Financial Analyst</x:t>
        </x:is>
      </x:c>
      <x:c r="E22" t="inlineStr">
        <x:is>
          <x:t xml:space="preserve">Bachelors Degree from an accredited school Strong Excel knowledge</x:t>
        </x:is>
      </x:c>
      <x:c r="F22" t="n">
        <x:v>1</x:v>
      </x:c>
      <x:c r="G22" t="n">
        <x:v>0</x:v>
      </x:c>
      <x:c r="H22" t="n">
        <x:v>1</x:v>
      </x:c>
      <x:c r="I22" t="inlineStr">
        <x:is>
          <x:t xml:space="preserve">Financial analysis and Excel fit, but junior seniority is below the senior-level candidate.</x:t>
        </x:is>
      </x:c>
      <x:c r="J22" t="n">
        <x:v>1</x:v>
      </x:c>
      <x:c r="K22" t="inlineStr">
        <x:is>
          <x:t xml:space="preserve">Financial analysis and Excel fit, but junior seniority is below the senior-level candidate.</x:t>
        </x:is>
      </x:c>
      <x:c r="L22" t="inlineStr">
        <x:is>
          <x:t xml:space="preserve">Approved</x:t>
        </x:is>
      </x:c>
    </x:row>
    <x:row r="23">
      <x:c r="A23" t="inlineStr">
        <x:is>
          <x:t xml:space="preserve">RR-149</x:t>
        </x:is>
      </x:c>
      <x:c r="B23" t="inlineStr">
        <x:is>
          <x:t xml:space="preserve">CV-21</x:t>
        </x:is>
      </x:c>
      <x:c r="C23" t="inlineStr">
        <x:is>
          <x:t xml:space="preserve">degree: bachelors. experience level: mid-level. target role: data analyst. skills: sql, data reporting, excel, statistics, data analysis.</x:t>
        </x:is>
      </x:c>
      <x:c r="D23" t="inlineStr">
        <x:is>
          <x:t xml:space="preserve">Sr. Financial Analyst</x:t>
        </x:is>
      </x:c>
      <x:c r="E23" t="inlineStr">
        <x:is>
          <x:t xml:space="preserve">BS Degree in economics, finance/accounting is required. At least five years in a senior role, in the healthcare/insurance industry. Strong interpersonal skills with the ability to deal well with all levels of staff. Microsoft Office Suite to include advanced Excel skills (macros, pivot tables, lookup tables, functions). Knowledge of stop loss is desirable. Strong ability to deal well with constantly changing priorities in an ever evolving environment. Benefits Offered: We recognize talented people are attracted to companies that provide competitive pay, comprehensive benefit packages, and outstanding advancement opportunities. For this reason, we offer a comprehensive benefits plan that includes the following: 401(k) and Company Profit Sharing plan Medical , dental and vision coverage Life/AD&amp;D insurance Flexible spending accounts Paid vacation and sick leave Professional development/tuition reimbursement Discount fitness memberships Work/life resources EOE, Salary DOE and Benefits. Email resume with cover letter and salary requirements to this ad. Sr. Financial Analyst – Healthcare Industry</x:t>
        </x:is>
      </x:c>
      <x:c r="F23" t="n">
        <x:v>1</x:v>
      </x:c>
      <x:c r="G23" t="n">
        <x:v>0</x:v>
      </x:c>
      <x:c r="H23" t="n">
        <x:v>1</x:v>
      </x:c>
      <x:c r="I23" t="inlineStr">
        <x:is>
          <x:t xml:space="preserve">Excel and analytics transfer, but finance degree, senior finance and healthcare-industry experience are absent.</x:t>
        </x:is>
      </x:c>
      <x:c r="J23" t="n">
        <x:v>1</x:v>
      </x:c>
      <x:c r="K23" t="inlineStr">
        <x:is>
          <x:t xml:space="preserve">Excel and analytics transfer, but finance degree, senior finance and healthcare-industry experience are absent.</x:t>
        </x:is>
      </x:c>
      <x:c r="L23" t="inlineStr">
        <x:is>
          <x:t xml:space="preserve">Approved</x:t>
        </x:is>
      </x:c>
    </x:row>
    <x:row r="24">
      <x:c r="A24" t="inlineStr">
        <x:is>
          <x:t xml:space="preserve">RR-172</x:t>
        </x:is>
      </x:c>
      <x:c r="B24" t="inlineStr">
        <x:is>
          <x:t xml:space="preserve">CV-24</x:t>
        </x:is>
      </x:c>
      <x:c r="C24" t="inlineStr">
        <x:is>
          <x:t xml:space="preserve">degree: phd. experience level: senior-level. target role: accountant. skills: financial analysis, accounting software, auditing, budgeting, spreadsheet skills.</x:t>
        </x:is>
      </x:c>
      <x:c r="D24" t="inlineStr">
        <x:is>
          <x:t xml:space="preserve">Financial Analyst</x:t>
        </x:is>
      </x:c>
      <x:c r="E24" t="inlineStr">
        <x:is>
          <x:t xml:space="preserve">Financial Analyst Requirements: Bachelor’s Degree in Finance, Accounting, Business Administration or related field of study Minimum of two years of related experience in quantitative sales and general business analysis Experience with grocery category management, the CPG industry, or Retail industry a plus Ability to effectively communicate findings and recommendations in writing to internal audiences as well as external Advanced user of Microsoft Excel Proficient Microsoft Access skills Ability to multi-task in a fast-paced business environment Capacity to learn and process quickly Proven record of fact-based decision making using Nielsen, IRI, Spins, Spectra, and other syndicated purchased data a plus If you are interested in the financial analyst opportunity and qualify per the aforementioned requirements, please apply today! Thank you, Jason Siegel Unit Manager, Accounting &amp; Finance LaSalle Network Keywords and Related Terms: Analysis , trend analysis , profitability , SKU , marketing , financial analyst , Excel , Access , Bachelor’s degree , Nielsen , IRI , Spins LaSalle Network is an Equal Opportunity Employer, m/f/d/v.</x:t>
        </x:is>
      </x:c>
      <x:c r="F24" t="n">
        <x:v>1</x:v>
      </x:c>
      <x:c r="G24" t="n">
        <x:v>0</x:v>
      </x:c>
      <x:c r="H24" t="n">
        <x:v>1</x:v>
      </x:c>
      <x:c r="I24" t="inlineStr">
        <x:is>
          <x:t xml:space="preserve">Accounting and budgeting overlap with financial analysis, but quantitative financial analyst experience is unverified.</x:t>
        </x:is>
      </x:c>
      <x:c r="J24" t="n">
        <x:v>1</x:v>
      </x:c>
      <x:c r="K24" t="inlineStr">
        <x:is>
          <x:t xml:space="preserve">Accounting and budgeting overlap with financial analysis, but quantitative financial analyst experience is unverified.</x:t>
        </x:is>
      </x:c>
      <x:c r="L24" t="inlineStr">
        <x:is>
          <x:t xml:space="preserve">Approved</x:t>
        </x:is>
      </x:c>
    </x:row>
    <x:row r="25">
      <x:c r="A25" t="inlineStr">
        <x:is>
          <x:t xml:space="preserve">RR-175</x:t>
        </x:is>
      </x:c>
      <x:c r="B25" t="inlineStr">
        <x:is>
          <x:t xml:space="preserve">CV-18</x:t>
        </x:is>
      </x:c>
      <x:c r="C25" t="inlineStr">
        <x:is>
          <x:t xml:space="preserve">degree: phd. experience level: senior-level. target role: pharmacist. skills: pharmaceuticals, healthcare, medical terminology, patient consultation, medication dispensing.</x:t>
        </x:is>
      </x:c>
      <x:c r="D25" t="inlineStr">
        <x:is>
          <x:t xml:space="preserve">Compliance Specialist</x:t>
        </x:is>
      </x:c>
      <x:c r="E25" t="inlineStr">
        <x:is>
          <x:t xml:space="preserve">Skills &amp; Specifications This position requires a person to have the ability to work in a team environment by building and maintaining positive working relationships with physician providers and other corporate personnel. This individual must be a detail-oriented problem-solver; have knowledge of health care and medical terminology; have excellent time management, interpersonal, verbal and written communication, and demonstrated research skills. Education &amp; Qualifications This individual must have a Bachelor’s or equivalent work experience. Prior experience in healthcare is highly preferred and comfort with Microsoft Word and Excel is essential. This is a junior position: 1 to 3 years of experience is preferred.</x:t>
        </x:is>
      </x:c>
      <x:c r="F25" t="n">
        <x:v>1</x:v>
      </x:c>
      <x:c r="G25" t="n">
        <x:v>2</x:v>
      </x:c>
      <x:c r="H25" t="n">
        <x:v>1</x:v>
      </x:c>
      <x:c r="I25" t="inlineStr">
        <x:is>
          <x:t xml:space="preserve">Healthcare terminology overlaps, but HIPAA and regulatory compliance expertise are not established.</x:t>
        </x:is>
      </x:c>
      <x:c r="J25" t="n">
        <x:v>1</x:v>
      </x:c>
      <x:c r="K25" t="inlineStr">
        <x:is>
          <x:t xml:space="preserve">Healthcare terminology overlaps, but HIPAA and regulatory compliance expertise are not established.</x:t>
        </x:is>
      </x:c>
      <x:c r="L25" t="inlineStr">
        <x:is>
          <x:t xml:space="preserve">Approved</x:t>
        </x:is>
      </x:c>
    </x:row>
    <x:row r="26">
      <x:c r="A26" t="inlineStr">
        <x:is>
          <x:t xml:space="preserve">RR-183</x:t>
        </x:is>
      </x:c>
      <x:c r="B26" t="inlineStr">
        <x:is>
          <x:t xml:space="preserve">CV-03</x:t>
        </x:is>
      </x:c>
      <x:c r="C26" t="inlineStr">
        <x:is>
          <x:t xml:space="preserve">degree: phd. experience level: senior-level. target role: financial analyst. skills: forecasting, financial modelling, excel, budgeting, market research.</x:t>
        </x:is>
      </x:c>
      <x:c r="D26" t="inlineStr">
        <x:is>
          <x:t xml:space="preserve">Financial analyst</x:t>
        </x:is>
      </x:c>
      <x:c r="E26" t="inlineStr">
        <x:is>
          <x:t xml:space="preserve">Qualifications Basic Qualifications: Bachelors Degree in Accounting, Finance or Marketing. 4 years of pricing experience, with a combination of accounting and financial analysis in increasingly responsible roles. Additional Qualifications: MBA a plus. Process oriented with strong problem solving skills. Strong technical and analytical skills. Ability to create and utilize financial models to evaluate investment and pricing options. Ability to work effectively in a fast paced environment and to meet tight deadlines. Ability to effectively communicate and interact across functional groups and with different levels of the organization. Ability to develop effective working relationships through teamwork and influencing skills. Strong written and verbal communication skills. Education Level : Bachelor's Degree</x:t>
        </x:is>
      </x:c>
      <x:c r="F26" t="n">
        <x:v>2</x:v>
      </x:c>
      <x:c r="G26" t="n">
        <x:v>1</x:v>
      </x:c>
      <x:c r="H26" t="n">
        <x:v>2</x:v>
      </x:c>
      <x:c r="I26" t="inlineStr">
        <x:is>
          <x:t xml:space="preserve">Financial modelling and forecasting align closely with pricing analysis; specific pricing tenure is unverified.</x:t>
        </x:is>
      </x:c>
      <x:c r="J26" t="n">
        <x:v>2</x:v>
      </x:c>
      <x:c r="K26" t="inlineStr">
        <x:is>
          <x:t xml:space="preserve">Financial modelling and forecasting align closely with pricing analysis; specific pricing tenure is unverified.</x:t>
        </x:is>
      </x:c>
      <x:c r="L26" t="inlineStr">
        <x:is>
          <x:t xml:space="preserve">Approved</x:t>
        </x:is>
      </x:c>
    </x:row>
    <x:row r="27">
      <x:c r="A27" t="inlineStr">
        <x:is>
          <x:t xml:space="preserve">RR-184</x:t>
        </x:is>
      </x:c>
      <x:c r="B27" t="inlineStr">
        <x:is>
          <x:t xml:space="preserve">CV-15</x:t>
        </x:is>
      </x:c>
      <x:c r="C27" t="inlineStr">
        <x:is>
          <x:t xml:space="preserve">degree: masters. experience level: mid-level. target role: systems analyst. skills: data analysis, systems integration, project management, sql, business process modeling.</x:t>
        </x:is>
      </x:c>
      <x:c r="D27" t="inlineStr">
        <x:is>
          <x:t xml:space="preserve">Junior Analyst/ Operation Specialist</x:t>
        </x:is>
      </x:c>
      <x:c r="E27" t="inlineStr">
        <x:is>
          <x:t xml:space="preserve">BS degree in finance. Internship experience in financial services company. Excellent computer skills Excel and Access. Income processing and strong analytical skills.</x:t>
        </x:is>
      </x:c>
      <x:c r="F27" t="n">
        <x:v>0</x:v>
      </x:c>
      <x:c r="G27" t="n">
        <x:v>1</x:v>
      </x:c>
      <x:c r="H27" t="n">
        <x:v>0</x:v>
      </x:c>
      <x:c r="I27" t="inlineStr">
        <x:is>
          <x:t xml:space="preserve">Finance degree/internship are explicitly required; profile is systems analysis, not finance.</x:t>
        </x:is>
      </x:c>
      <x:c r="J27" t="n">
        <x:v>0</x:v>
      </x:c>
      <x:c r="K27" t="inlineStr">
        <x:is>
          <x:t xml:space="preserve">Finance degree/internship are explicitly required; profile is systems analysis, not finance.</x:t>
        </x:is>
      </x:c>
      <x:c r="L27" t="inlineStr">
        <x:is>
          <x:t xml:space="preserve">Approved</x:t>
        </x:is>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9" max="9" width="20" hidden="0" customWidth="1"/>
    <x:col min="10" max="10" width="40" hidden="0" customWidth="1"/>
    <x:col min="11" max="11" width="20" hidden="0" customWidth="1"/>
    <x:col min="12" max="12" width="40" hidden="0" customWidth="1"/>
    <x:col min="13" max="13" width="22" hidden="0" customWidth="1"/>
    <x:col min="14" max="14" width="22" hidden="0" customWidth="1"/>
  </x:cols>
  <x:sheetData>
    <x:row r="1" ht="36" customHeight="1">
      <x:c r="A1" s="1" t="inlineStr">
        <x:is>
          <x:t xml:space="preserve">item_id</x:t>
        </x:is>
      </x:c>
      <x:c r="B1" s="1" t="inlineStr">
        <x:is>
          <x:t xml:space="preserve">cv_id</x:t>
        </x:is>
      </x:c>
      <x:c r="C1" s="1" t="inlineStr">
        <x:is>
          <x:t xml:space="preserve">cv_profile</x:t>
        </x:is>
      </x:c>
      <x:c r="D1" s="1" t="inlineStr">
        <x:is>
          <x:t xml:space="preserve">job_title</x:t>
        </x:is>
      </x:c>
      <x:c r="E1" s="1" t="inlineStr">
        <x:is>
          <x:t xml:space="preserve">job_description</x:t>
        </x:is>
      </x:c>
      <x:c r="F1" s="1" t="inlineStr">
        <x:is>
          <x:t xml:space="preserve">job_requirements</x:t>
        </x:is>
      </x:c>
      <x:c r="G1" s="1" t="inlineStr">
        <x:is>
          <x:t xml:space="preserve">job_city</x:t>
        </x:is>
      </x:c>
      <x:c r="H1" s="1" t="inlineStr">
        <x:is>
          <x:t xml:space="preserve">job_state</x:t>
        </x:is>
      </x:c>
      <x:c r="I1" s="6" t="str">
        <x:v>reviewer1_score_original</x:v>
      </x:c>
      <x:c r="J1" s="6" t="inlineStr">
        <x:is>
          <x:t xml:space="preserve">reviewer1_notes</x:t>
        </x:is>
      </x:c>
      <x:c r="K1" s="6" t="str">
        <x:v>reviewer2_score_original</x:v>
      </x:c>
      <x:c r="L1" s="6" t="inlineStr">
        <x:is>
          <x:t xml:space="preserve">reviewer2_notes</x:t>
        </x:is>
      </x:c>
      <x:c r="M1" s="6" t="str">
        <x:v>final_agreed_score</x:v>
      </x:c>
      <x:c r="N1" s="6" t="str">
        <x:v>final_consensus_score</x:v>
      </x:c>
    </x:row>
    <x:row r="2">
      <x:c r="A2" t="inlineStr">
        <x:is>
          <x:t xml:space="preserve">RR-001</x:t>
        </x:is>
      </x:c>
      <x:c r="B2" t="inlineStr">
        <x:is>
          <x:t xml:space="preserve">CV-18</x:t>
        </x:is>
      </x:c>
      <x:c r="C2" t="inlineStr">
        <x:is>
          <x:t xml:space="preserve">degree: phd. experience level: senior-level. target role: pharmacist. skills: pharmaceuticals, healthcare, medical terminology, patient consultation, medication dispensing.</x:t>
        </x:is>
      </x:c>
      <x:c r="D2" t="inlineStr">
        <x:is>
          <x:t xml:space="preserve">Long Term Care Pharmacist</x:t>
        </x:is>
      </x:c>
      <x:c r="E2" t="inlineStr">
        <x:is>
          <x:t xml:space="preserve">Louis &amp; Clark provides health care solutions that support our community, including caregivers, health care facility administrators, and all our many customers. Established in 1965, we have grown steadily. Today, we provide not only the professional pharmacy services that make us a primary resource for caregivers and customers, but also comprehensive compounding, facility and independent-living services and a full range of durable medical equipment and supplies. As a strong regional company, we have both the perspective and the focus to enhance the level of health care available in and beyond Western Massachusetts, and to help improve lives throughout the area. This is our driving objective. Long Term care Pharmacist Eight (8) to twelve (12) hour workdays. Every 3rd to 4th weekend. On-call responsibilities. This position deals with healthcare providers, patients, and families, in a demanding real time manner. Work will be stressful at times. Rapidly growing pharmacy with opportunities for advancement. Competitive compensation and benefits. Skills Strong supervisory and organizational skills. Must be able to demonstrate leadership abilities. Must be able to communicate effectively.</x:t>
        </x:is>
      </x:c>
      <x:c r="F2" t="inlineStr">
        <x:is>
          <x:t xml:space="preserve">Graduate of an accredited school of pharmacy Two or more years work experience in retail or LTC pharmacy Experience as a long term care pharmacist preferred Licensed to practice pharmacy in Massachusetts Immunization certification required Additional certifications in disease state management are desirable Compounding experience desirable</x:t>
        </x:is>
      </x:c>
      <x:c r="G2" t="inlineStr">
        <x:is>
          <x:t xml:space="preserve">SPRINGFIELD</x:t>
        </x:is>
      </x:c>
      <x:c r="H2" t="inlineStr">
        <x:is>
          <x:t xml:space="preserve">MA</x:t>
        </x:is>
      </x:c>
      <x:c r="I2" t="n">
        <x:v>2</x:v>
      </x:c>
      <x:c r="J2" t="str">
        <x:v>السيرة الذاتية ممتازة ومطابقة بشكل مباشر لمهام ومتطلبات وظيفة Long Term Care Pharmacist. يوصى بالترشيح للمقابلة.</x:v>
      </x:c>
      <x:c r="K2" t="n">
        <x:v>2</x:v>
      </x:c>
      <x:c r="L2" t="str">
        <x:v>توصية بالمقابلة: المهارات والمؤهلات تتوافق تماماً مع الوصف الوظيفي لـ Long Term Care Pharmacist.</x:v>
      </x:c>
      <x:c r="M2" t="n">
        <x:v>2</x:v>
      </x:c>
      <x:c r="N2" t="n">
        <x:v>2</x:v>
      </x:c>
    </x:row>
    <x:row r="3">
      <x:c r="A3" t="inlineStr">
        <x:is>
          <x:t xml:space="preserve">RR-002</x:t>
        </x:is>
      </x:c>
      <x:c r="B3" t="inlineStr">
        <x:is>
          <x:t xml:space="preserve">CV-27</x:t>
        </x:is>
      </x:c>
      <x:c r="C3" t="inlineStr">
        <x:is>
          <x:t xml:space="preserve">degree: phd. experience level: senior-level. target role: cloud architect. skills: azure, scalability, solution architecture, aws, cloud computing.</x:t>
        </x:is>
      </x:c>
      <x:c r="D3" t="inlineStr">
        <x:is>
          <x:t xml:space="preserve">Receptionist/ Accounting Assistant</x:t>
        </x:is>
      </x:c>
      <x:c r="E3" t="inlineStr">
        <x:is>
          <x:t xml:space="preserve">I have a key client in Buckhead that is looking to identify an Accounting Assistant that will serve as th eface and voice of company as well. This is position would start out Part-time and move in to a Full-time orle for the right candidate. You will be mentored by the Director of Finance.</x:t>
        </x:is>
      </x:c>
      <x:c r="F3" t="inlineStr">
        <x:is>
          <x:t xml:space="preserve">ESSENTIAL JOB DUTIES/RESPONSIBILITIES: Ensures visitors and customers are greeted in a friendly, positive and professional manner. Receives and distributes information and data Ensures front desk runs smoothly and all behind the scenes activities are executed on a timely basis Answers incoming telephone calls, determines purpose of callers and forwards calls to appropriate person or department Other duties may include some or all of the following: Place work orders for maintenance items Compile and distribute bi-weekly spreadsheets Prepare, process and reconcile various monthly invoices, reports, letters and spreadsheets including courier and Federal Express invoices Oversee all activities related to the upkeep of the office building including the phone system and security keys Act as a liaison between upper management and other staff Relieve or act as mail clerk Oversee maintenance of copy machines Stock kitchen, oversee deliveries of various beverages and requisite supplies, and order office supplies Perform other clerical duties as needed, such as data entry, filing, photocopying, and collating Assist with mail-outs as needed Check-in incoming packages and distribute and prepare out-going mail and courier deliveries Order lunches and ensure delivery to correct areas Issue safety and contractor badges Provide accounting assistance Distribute mail to various departments in the office Administer safety orientation and tests Administer Ethics and Compliance Center System Administer service award program Update prices file daily</x:t>
        </x:is>
      </x:c>
      <x:c r="G3" t="inlineStr">
        <x:is>
          <x:t xml:space="preserve">ATLANTA</x:t>
        </x:is>
      </x:c>
      <x:c r="H3" t="inlineStr">
        <x:is>
          <x:t xml:space="preserve">GA</x:t>
        </x:is>
      </x:c>
      <x:c r="I3" t="n">
        <x:v>0</x:v>
      </x:c>
      <x:c r="J3" t="str">
        <x:v>عدم مطابقة: خبرات المرشح موجهة نحو cloud architect، وهي بعيدة عن متطلبات دور Receptionist/ Accounting Assistant.</x:v>
      </x:c>
      <x:c r="K3" t="n">
        <x:v>1</x:v>
      </x:c>
      <x:c r="L3" t="str">
        <x:v>وجهة نظر ثانية: الملف يظهر بعض التقارب، لكني أرى ضرورة التأكد من المهارات التخصصية في المقابلة.</x:v>
      </x:c>
      <x:c r="M3" t="n">
        <x:v>0</x:v>
      </x:c>
      <x:c r="N3" t="n">
        <x:v>0</x:v>
      </x:c>
    </x:row>
    <x:row r="4">
      <x:c r="A4" t="inlineStr">
        <x:is>
          <x:t xml:space="preserve">RR-003</x:t>
        </x:is>
      </x:c>
      <x:c r="B4" t="inlineStr">
        <x:is>
          <x:t xml:space="preserve">CV-28</x:t>
        </x:is>
      </x:c>
      <x:c r="C4" t="inlineStr">
        <x:is>
          <x:t xml:space="preserve">degree: bachelors. experience level: mid-level. target role: ai specialist. skills: tensorflow, neural networks, deep learning, machine learning, nlp.</x:t>
        </x:is>
      </x:c>
      <x:c r="D4" t="inlineStr">
        <x:is>
          <x:t xml:space="preserve">Call Center Representative</x:t>
        </x:is>
      </x:c>
      <x:c r="E4" t="inlineStr">
        <x:is>
          <x:t xml:space="preserve">Hanscom Federal Credit Union is a top 10 Massachusetts credit union with over $850 million in assets. Founded in 1953, Hanscom is seeking positive, energetic and creative individuals to join our team. We offer a comprehensive benefits package, friendly and supportive work environment, competitive salaries, and an opportunity to work for a stable and progressive organization. Hanscom is looking for a Call Center Representative to work at our main office on Hanscom Air Force Base. Under the general supervision of the Call Center Manager, provides telephone support to new and existing members in conformance with established policies and procedures. - Provides telephone assistance to potential and current members. - Performs all duties and responsibilities of a teller via telephone. - Assists members in reconciling share draft accounts. - Processes E-mail. - Makes check copies. - Processes member stop payment orders on drafts. - Handles member requests for copies on paid share draft accounts. - Provides routine information concerning Credit Union services. - Maintains current knowledge of all products and services . - Actively cross sells and meets member needs. - Performs Financial Service Representative back-up as needed. - Performs additional duties as requested.</x:t>
        </x:is>
      </x:c>
      <x:c r="F4" t="inlineStr">
        <x:is>
          <x:t xml:space="preserve">High School diploma or equivalent. Six months related experience in a financial institution is helpful. Must be able to work well with others. Demonstrated organizational, communication (verbal &amp; written), and customer service skills. Must be detail oriented. Ability to utilize various office machines.</x:t>
        </x:is>
      </x:c>
      <x:c r="G4" t="inlineStr">
        <x:is>
          <x:t xml:space="preserve">BEDFORD</x:t>
        </x:is>
      </x:c>
      <x:c r="H4" t="inlineStr">
        <x:is>
          <x:t xml:space="preserve">MA</x:t>
        </x:is>
      </x:c>
      <x:c r="I4" t="n">
        <x:v>0</x:v>
      </x:c>
      <x:c r="J4" t="str">
        <x:v>المؤهلات في السيرة الذاتية تخص مجالات ai specialist فقط، ولا توجد خبرة سابقة في مسؤوليات Call Center Representative.</x:v>
      </x:c>
      <x:c r="K4" t="n">
        <x:v>0</x:v>
      </x:c>
      <x:c r="L4" t="str">
        <x:v>استبعاد: الفجوة كبيرة في المهارات بين التخصص المستهدف (ai specialist) والمسؤوليات المحددة لـ Call Center Representative.</x:v>
      </x:c>
      <x:c r="M4" t="n">
        <x:v>0</x:v>
      </x:c>
      <x:c r="N4" t="n">
        <x:v>0</x:v>
      </x:c>
    </x:row>
    <x:row r="5">
      <x:c r="A5" t="inlineStr">
        <x:is>
          <x:t xml:space="preserve">RR-004</x:t>
        </x:is>
      </x:c>
      <x:c r="B5" t="inlineStr">
        <x:is>
          <x:t xml:space="preserve">CV-16</x:t>
        </x:is>
      </x:c>
      <x:c r="C5" t="inlineStr">
        <x:is>
          <x:t xml:space="preserve">degree: masters. experience level: senior-level. target role: product manager. skills: leadership, product development, cross-functional collaboration, agile, team coordination.</x:t>
        </x:is>
      </x:c>
      <x:c r="D5" t="inlineStr">
        <x:is>
          <x:t xml:space="preserve">IT Project Manager</x:t>
        </x:is>
      </x:c>
      <x:c r="E5" t="inlineStr">
        <x:is>
          <x:t xml:space="preserve">Currently we are seeking individuals for the following position: IT Project Manager Pay Rate: $55 - 65 per hour IT Project Manager Job Responsibilities Plan, direct, or coordinate activities in such fields as electronic data processing, information systems, systems analysis, and computer programming. Review project plans to plan and coordinate project activity. Manage backup, security and user help system. Consult with users, management, vendors, and technicians to assess computing needs and system requirements. Meet with department heads, managers, supervisors, vendors, and others, to solicit cooperation and resolve problems. Provide users with technical support for computer problems.</x:t>
        </x:is>
      </x:c>
      <x:c r="F5" t="inlineStr">
        <x:is>
          <x:t xml:space="preserve">IT Project Manager Skills Required to be considered: 2-4 years experience required. Verbal and written communication skills, problem solving skills, attention to detail and interpersonal skills. Ability to work independently and manage one's time. Knowledge of computer hardware and software. Knowledge of production processes, quality control, costs and other techniques for maximizing the effective manufacture and distribution of goods. Knowledge of business and management principles involved in strategic planning, resource allocation, and production methods. Knowledge of computer software, such as Visual Basic, Java, SQL, etc. IT Project Manager Minimum Education Required: Bachelor's degree in a technical field such as computer science, computer engineering or related field required. MBA or other related advanced degree preferred. Applicant must be eligible to work in the US for immediate opening. The Bartech Group, one of America's largest and fastest-growing staffing firms, continues to elevate the staffing industry to a higher level of thinking. Bartech Enterprise Staffing specializes in temporary and direct placement of Engineering, IT, Technical, Finance &amp; Accounting, and Professional staff. When you join The Bartech Group you launch a career. We support you with a comprehensive benefit plan, offering exceptional medical, dental, and vision care; life and disability insurance; paid time off including holidays; and 401K.</x:t>
        </x:is>
      </x:c>
      <x:c r="G5" t="inlineStr">
        <x:is>
          <x:t xml:space="preserve">EVERETT</x:t>
        </x:is>
      </x:c>
      <x:c r="H5" t="inlineStr">
        <x:is>
          <x:t xml:space="preserve">WA</x:t>
        </x:is>
      </x:c>
      <x:c r="I5" t="n">
        <x:v>1</x:v>
      </x:c>
      <x:c r="J5" t="str">
        <x:v>تقارب جزئي في المهارات العملية، ولكن يحتاج لمراجعة تفصيلية في المقابلة للتأكد من مدى ملاءمته لمهام IT Project Manager.</x:v>
      </x:c>
      <x:c r="K5" t="n">
        <x:v>1</x:v>
      </x:c>
      <x:c r="L5" t="str">
        <x:v>تقييم مستقل: توجد مهارات عامة يمكن الاستفادة منها، ولكن التأهيل غير مكتمل لوظيفة IT Project Manager.</x:v>
      </x:c>
      <x:c r="M5" t="n">
        <x:v>1</x:v>
      </x:c>
      <x:c r="N5" t="n">
        <x:v>1</x:v>
      </x:c>
    </x:row>
    <x:row r="6">
      <x:c r="A6" t="inlineStr">
        <x:is>
          <x:t xml:space="preserve">RR-005</x:t>
        </x:is>
      </x:c>
      <x:c r="B6" t="inlineStr">
        <x:is>
          <x:t xml:space="preserve">CV-16</x:t>
        </x:is>
      </x:c>
      <x:c r="C6" t="inlineStr">
        <x:is>
          <x:t xml:space="preserve">degree: masters. experience level: senior-level. target role: product manager. skills: leadership, product development, cross-functional collaboration, agile, team coordination.</x:t>
        </x:is>
      </x:c>
      <x:c r="D6" t="inlineStr">
        <x:is>
          <x:t xml:space="preserve">Entry Level Supply Chain Specialist</x:t>
        </x:is>
      </x:c>
      <x:c r="E6" t="inlineStr">
        <x:is>
          <x:t xml:space="preserve">Fast Growing &amp; Highly Respected Avionics Manufacturing Operation in Everett seeks an entry level Supply Chain Specialist to join its growing Supply Chain Team. Qualified candidates should have a 4 year degree in Supply Chain and/or Operations Management, or other applicable degree. Qualified candidates should also have at least 1 year of applicable experience, typically acquired via a formal internship program. This is an exciting entry level supply chain role within a highly collaborative and supportive environment. We are seeking a highly motivated individual that is focused on a supply chain and/or operations management career. Fast paced and challenging work environment in which you'll have every other Friday off (9/80 work schedule). Competitive salary and benefits plan along with excellent growth potential. Job Duties: Primary responsibility is the management of materials and suppliers with a focus of On-Time-Delivery Support the supplier development program when necessary. Ensure supplier on-time delivery ensuring material availability to meet customer demands and revenue targets. Work with the supply chain to develop and implement supplier-managed inventory programs that will allow company to reduce inventory holdings and increase inventory turns. Manage purchasing contracts, blanket orders and LTA’s (Long Term Agreements) with key suppliers. Ensure suppliers are meeting the terms of the above mentioned purchasing contract and supply management tools. Contribute to and evaluate supplier scorecards and setrics. Suggest procurement processes/policies when necessary to support overall objectives Support the planning group with all supplier related activities when necessary.</x:t>
        </x:is>
      </x:c>
      <x:c r="F6" t="inlineStr">
        <x:is>
          <x:t xml:space="preserve">Bachelor's degree (B.S.) from four-year College or university and at least 1 year of related experience within procurement, production control, inventory management and supplier development. Fluent or the ability to become fluent with ERP systems with a particular emphasis on materials management functionality. Previous experience with implementing supplier-managed inventory programs, including VMI, kanban and/or other “pull signal" inventory systems preferred. Experience ensuring supplier on-time delivery preferred. Experience in negotiating with and managing suppliers to achieve mutually beneficial programs. A basic knowledge of military and commercial aerospace specifications and standards a plus. APICS membership/participation encouraged. Basic knowledge of Lean practices including VMI and kanban inventory programs</x:t>
        </x:is>
      </x:c>
      <x:c r="G6" t="inlineStr">
        <x:is>
          <x:t xml:space="preserve">EVERETT</x:t>
        </x:is>
      </x:c>
      <x:c r="H6" t="inlineStr">
        <x:is>
          <x:t xml:space="preserve">WA</x:t>
        </x:is>
      </x:c>
      <x:c r="I6" t="n">
        <x:v>0</x:v>
      </x:c>
      <x:c r="J6" t="str">
        <x:v>لا يوجد أي تقاطع مهني بين دور Entry Level Supply Chain Specialist المطلوبة والاهتمام المهني للمرشح كـ product manager.</x:v>
      </x:c>
      <x:c r="K6" t="n">
        <x:v>0</x:v>
      </x:c>
      <x:c r="L6" t="str">
        <x:v>تقييم مستقل: المرشح مركز تماماً على مجال product manager وهو بعيد عن النطاق التشغيلي لدور Entry Level Supply Chain Specialist.</x:v>
      </x:c>
      <x:c r="M6" t="n">
        <x:v>0</x:v>
      </x:c>
      <x:c r="N6" t="n">
        <x:v>0</x:v>
      </x:c>
    </x:row>
    <x:row r="7">
      <x:c r="A7" t="inlineStr">
        <x:is>
          <x:t xml:space="preserve">RR-006</x:t>
        </x:is>
      </x:c>
      <x:c r="B7" t="inlineStr">
        <x:is>
          <x:t xml:space="preserve">CV-03</x:t>
        </x:is>
      </x:c>
      <x:c r="C7" t="inlineStr">
        <x:is>
          <x:t xml:space="preserve">degree: phd. experience level: senior-level. target role: financial analyst. skills: forecasting, financial modelling, excel, budgeting, market research.</x:t>
        </x:is>
      </x:c>
      <x:c r="D7" t="inlineStr">
        <x:is>
          <x:t xml:space="preserve">Senior Financial Analyst (Budget and Planning)</x:t>
        </x:is>
      </x:c>
      <x:c r="E7" t="inlineStr">
        <x:is>
          <x:t xml:space="preserve">Our client a well respected brand name and leader in its industry is currently looking for a Sr. Financial Analyst. Primary functions of the role will include: Coordinate the annual budget and forecast processes, including timely and accurate data input by key customers/functional groups, budget and forecast consolidation and analysis, and presentation to management Provide financial tools, advice, and analysis to budget managers, including senior management Ensure alignment of key company strategies with financial budgets and forecasts Coordinate strategic planning process Provide monthly analysis and commentary on key budget and/or forecast to actual variances and provide recommendations for future actions as required Perform trend analysis, including the identification and communication to management of financial risks, opportunities, and/or areas for improvement Prepare in-depth cost and profitability analysis and assist in the development of pricing and break-even models Develop financial models that provide long-term planning insight Assess the financial impacts of policy, fiscal, and operational issues Identify, recommend, and implement financial policies, procedures, and controls Proactively work to further automate the monthly variance analysis, forecasting, and annual budget processes to drive process improvements and increase financial accuracy Ongoing evaluation to streamline processes and improve effectiveness Respond to special requests for financial data and analyses, ensuring accurate and timely input for key decision makers Other projects/duties as assigned.</x:t>
        </x:is>
      </x:c>
      <x:c r="F7" t="inlineStr">
        <x:is>
          <x:t xml:space="preserve">Bachelors degree in Finance or Accounting CPA or MBA preferred Minimum 5 years experience in Finance or Accounting field Financial Planning &amp; Budgeting experience Strong understanding of financial statements Excellent communication skills and ability to work in a dynamic environment</x:t>
        </x:is>
      </x:c>
      <x:c r="G7" t="inlineStr">
        <x:is>
          <x:t xml:space="preserve">CORAL GABLES</x:t>
        </x:is>
      </x:c>
      <x:c r="H7" t="inlineStr">
        <x:is>
          <x:t xml:space="preserve">FL</x:t>
        </x:is>
      </x:c>
      <x:c r="I7" t="n">
        <x:v>2</x:v>
      </x:c>
      <x:c r="J7" t="str">
        <x:v>تطابق ممتاز في المؤهلات والخبرات العملية مع الشاغر الوظيفي (Senior Financial Analyst (Budget and Planning)).</x:v>
      </x:c>
      <x:c r="K7" t="n">
        <x:v>2</x:v>
      </x:c>
      <x:c r="L7" t="str">
        <x:v>مرشح قوي: المطابقة عالية ومباشرة لجميع المسؤوليات اليومية المطلوبة.</x:v>
      </x:c>
      <x:c r="M7" t="n">
        <x:v>2</x:v>
      </x:c>
      <x:c r="N7" t="n">
        <x:v>2</x:v>
      </x:c>
    </x:row>
    <x:row r="8">
      <x:c r="A8" t="inlineStr">
        <x:is>
          <x:t xml:space="preserve">RR-007</x:t>
        </x:is>
      </x:c>
      <x:c r="B8" t="inlineStr">
        <x:is>
          <x:t xml:space="preserve">CV-30</x:t>
        </x:is>
      </x:c>
      <x:c r="C8" t="inlineStr">
        <x:is>
          <x:t xml:space="preserve">degree: masters. experience level: senior-level. target role: pilot. skills: navigation, air traffic control, risk management, emergency response, weather analysis.</x:t>
        </x:is>
      </x:c>
      <x:c r="D8" t="inlineStr">
        <x:is>
          <x:t xml:space="preserve">Development Coordinator</x:t>
        </x:is>
      </x:c>
      <x:c r="E8" t="inlineStr">
        <x:is>
          <x:t xml:space="preserve">Come join a fast paced growing company, a leader in the real estate industry. Equity Lifestyle Properties (NYSE: ELS) owns and operates the highest quality resort communities in the United States. We have a controlling interest in over 380 quality resorts throughout the U.S. and British Columbia. Our goal is to create value for our customers by providing consistently high levels of services and amenities in attractive surroundings. Our high standards have been recognized with several "Community of the Year" awards for the outstanding quality of our communities and the professionalism of our management. We are currently seeking qualified candidates for a Development Coordinator role that would work with our Asset Management Group to help with the Design, Permitting and Land Development process for the Nation. Provide overtime assistance as required for emergency/critical projects. Responsibilities: Design and Permitting (both new development and renovation of existing infrastructure). Assist with developing entitlement strategies, submissions and presentations as necessary. Assist with obtaining entitlement and permit approvals for projects. Assist with the development of financing budgets/packages for designated projects. Ensure that timely, efficient engineering is completed. Ensure the scope, schedule and budget of all construction activities meets the specified objectives for all projects as outlined in the business plan. Coordinate the design and construction of community amenities. Determine the feasibility of all bids and negotiate the best value for land development labor and materials (if applicable). Oversee the installation of all landscaping, amenities and entrances. Prepare and monitor development budgets and provide monthly updates of budget overruns to management. Prepare development time lines and weekly reports documenting job status (days ahead of schedule, days behind schedule, etc.). Address any problems or conflicts that arise during the development process and create feasible alternatives. Coordinate weekly onsite meetings with contractors, vendors and development team. Team Coordination: A. Assist Environmental Group representatives with utility system repair/remediation projects. B. Assist National Regulatory Compliance Officer with utility system inspections. C. Assist other team members as needed to resolve scheduling and vendor payment issues. D. Provide leadership to team members by modeling the company values, vision and operating principles. E. Coordinate and direct the activities of engineers, architects and other consultants.</x:t>
        </x:is>
      </x:c>
      <x:c r="F8" t="inlineStr">
        <x:is>
          <x:t xml:space="preserve">Bachelors degree preferred. One to three years experience in land development and entitlement of projects required (or educational equivalent). Experience in managing complex projects and large land development budgets preferred. Construction experience preferred. Must be computer literate with MS office suite. Must have excellent organizational and follow-through skills. Strong analytical skills. Strong written and verbal communication skills. Ability to travel to various locations within the Nation up to 50% of time. Ability to read and understand plans, entitlement, land acquisition agreements and other documents as required to perform duties. In return for your excellent skills and abilities, we offer a benefits package including: salary; bonus program; health insurance, 401K, STD/LTD, Life Insurance/AD&amp;D, paid holidays and vacations. We invite you to visit our web site at www.equitylifestyle.com/ or www.1000trails.com for additional information regarding our exceptional resort communities. We thank all applicants. Only those selected for an interview will be contacted. No relocation funds are available. "Local candidates only". EOE</x:t>
        </x:is>
      </x:c>
      <x:c r="G8" t="inlineStr">
        <x:is>
          <x:t xml:space="preserve">MESA</x:t>
        </x:is>
      </x:c>
      <x:c r="H8" t="inlineStr">
        <x:is>
          <x:t xml:space="preserve">AZ</x:t>
        </x:is>
      </x:c>
      <x:c r="I8" t="n">
        <x:v>0</x:v>
      </x:c>
      <x:c r="J8" t="str">
        <x:v>عدم مطابقة: خبرات المرشح موجهة نحو pilot، وهي بعيدة عن متطلبات دور Development Coordinator.</x:v>
      </x:c>
      <x:c r="K8" t="n">
        <x:v>0</x:v>
      </x:c>
      <x:c r="L8" t="str">
        <x:v>ملاحظة المراجع الثاني: بعد التدقيق، لا توجد خبرة عمل معتمدة تتناسب مع متطلبات وظيفة Development Coordinator.</x:v>
      </x:c>
      <x:c r="M8" t="n">
        <x:v>0</x:v>
      </x:c>
      <x:c r="N8" t="n">
        <x:v>0</x:v>
      </x:c>
    </x:row>
    <x:row r="9">
      <x:c r="A9" t="inlineStr">
        <x:is>
          <x:t xml:space="preserve">RR-008</x:t>
        </x:is>
      </x:c>
      <x:c r="B9" t="inlineStr">
        <x:is>
          <x:t xml:space="preserve">CV-05</x:t>
        </x:is>
      </x:c>
      <x:c r="C9" t="inlineStr">
        <x:is>
          <x:t xml:space="preserve">degree: masters. experience level: senior-level. target role: database administrator. skills: optimization, cloud databases, sql, database management, performance tuning.</x:t>
        </x:is>
      </x:c>
      <x:c r="D9" t="inlineStr">
        <x:is>
          <x:t xml:space="preserve">Administrative Assistant</x:t>
        </x:is>
      </x:c>
      <x:c r="E9" t="inlineStr">
        <x:is>
          <x:t xml:space="preserve">Investment Advisory firm is searching for an Administrative Assistant to support two groups. This is a Long term Temporary position for several months, possibly till the end of the year. Answer phones Meet and Greet Clients Schedule Appointments Make travel arrangements, Car, Air and Hotel Expense Reports Ad Hoc Project work as needed</x:t>
        </x:is>
      </x:c>
      <x:c r="F9" t="inlineStr">
        <x:is>
          <x:t xml:space="preserve">Must be proficient with Microsoft Office 2-3 years of Experience as an Administrative Assistant preferably in a financial setting Four year Degree Preferred Hours are from 9-6 should be flexible for OT</x:t>
        </x:is>
      </x:c>
      <x:c r="G9" t="inlineStr">
        <x:is>
          <x:t xml:space="preserve">NEW YORK</x:t>
        </x:is>
      </x:c>
      <x:c r="H9" t="inlineStr">
        <x:is>
          <x:t xml:space="preserve">NY</x:t>
        </x:is>
      </x:c>
      <x:c r="I9" t="n">
        <x:v>0</x:v>
      </x:c>
      <x:c r="J9" t="str">
        <x:v>المؤهلات في السيرة الذاتية تخص مجالات database administrator فقط، ولا توجد خبرة سابقة في مسؤوليات Administrative Assistant.</x:v>
      </x:c>
      <x:c r="K9" t="n">
        <x:v>1</x:v>
      </x:c>
      <x:c r="L9" t="str">
        <x:v>وجهة نظر ثانية: الملف يظهر بعض التقارب، لكني أرى ضرورة التأكد من المهارات التخصصية في المقابلة.</x:v>
      </x:c>
      <x:c r="M9" t="n">
        <x:v>0</x:v>
      </x:c>
      <x:c r="N9" t="n">
        <x:v>0</x:v>
      </x:c>
    </x:row>
    <x:row r="10">
      <x:c r="A10" t="inlineStr">
        <x:is>
          <x:t xml:space="preserve">RR-009</x:t>
        </x:is>
      </x:c>
      <x:c r="B10" t="inlineStr">
        <x:is>
          <x:t xml:space="preserve">CV-19</x:t>
        </x:is>
      </x:c>
      <x:c r="C10" t="inlineStr">
        <x:is>
          <x:t xml:space="preserve">degree: bachelors. experience level: senior-level. target role: chef. skills: food preparation, knife skills, presentation skills, menu planning, culinary skills.</x:t>
        </x:is>
      </x:c>
      <x:c r="D10" t="inlineStr">
        <x:is>
          <x:t xml:space="preserve">Order Processing Specialist</x:t>
        </x:is>
      </x:c>
      <x:c r="E10" t="inlineStr">
        <x:is>
          <x:t xml:space="preserve">NORD Gear Corporation is a world leader in the manufacture of industrial power transmission and motion control products. Our continued growth and expansion has created a need for a highly motivated Order Processing Specialist to join our team. We are currently seeking to fill an Order Processing position within our Customer Service Department in CHARLOTTE, North Carolina. Recent College graduates encouraged to apply . In this position, you will prepare, sort, verify, write and enter orders into our manufacturing system. You will also participate in process improvement in a team environment.</x:t>
        </x:is>
      </x:c>
      <x:c r="F10" t="inlineStr">
        <x:is>
          <x:t xml:space="preserve">Qualified applicants will have the ability to learn technical information associated with Industrial Power Transmission products and be very detailed-oriented. Requires a minimum of a 2 year college degree and preferably related experience. Must have strong communication and computer skills. We offer an exceptional compensation program, competitive benefits and the opportunity to develop a career with a truly outstanding, growing multinational organization. Applicants should send resume to: NORD Gear Corporation Human Resources 800 Nord Drive PO Box 367 Waunakee, WI 53597 To Apply at : www.nord.com , Select Career Opportunities, Select Job Search. NORD Gear Corporation is an Equal Opportunity Employer</x:t>
        </x:is>
      </x:c>
      <x:c r="G10" t="inlineStr">
        <x:is>
          <x:t xml:space="preserve">CHARLOTTE</x:t>
        </x:is>
      </x:c>
      <x:c r="H10" t="inlineStr">
        <x:is>
          <x:t xml:space="preserve">NC</x:t>
        </x:is>
      </x:c>
      <x:c r="I10" t="n">
        <x:v>0</x:v>
      </x:c>
      <x:c r="J10" t="str">
        <x:v>المرشح غير مناسب لشاغر Order Processing Specialist؛ توجهه المهني والمهارات المذكورة تنحصر في تخصص chef.</x:v>
      </x:c>
      <x:c r="K10" t="n">
        <x:v>0</x:v>
      </x:c>
      <x:c r="L10" t="str">
        <x:v>استبعاد: الفجوة كبيرة في المهارات بين التخصص المستهدف (chef) والمسؤوليات المحددة لـ Order Processing Specialist.</x:v>
      </x:c>
      <x:c r="M10" t="n">
        <x:v>0</x:v>
      </x:c>
      <x:c r="N10" t="n">
        <x:v>0</x:v>
      </x:c>
    </x:row>
    <x:row r="11">
      <x:c r="A11" t="inlineStr">
        <x:is>
          <x:t xml:space="preserve">RR-010</x:t>
        </x:is>
      </x:c>
      <x:c r="B11" t="inlineStr">
        <x:is>
          <x:t xml:space="preserve">CV-24</x:t>
        </x:is>
      </x:c>
      <x:c r="C11" t="inlineStr">
        <x:is>
          <x:t xml:space="preserve">degree: phd. experience level: senior-level. target role: accountant. skills: financial analysis, accounting software, auditing, budgeting, spreadsheet skills.</x:t>
        </x:is>
      </x:c>
      <x:c r="D11" t="inlineStr">
        <x:is>
          <x:t xml:space="preserve">Accountant for top tier investment management firm</x:t>
        </x:is>
      </x:c>
      <x:c r="E11" t="inlineStr">
        <x:is>
          <x:t xml:space="preserve">Established, top tier investment management firm based in Chicago is currently seeking a Fund Accountant. This individual must have a strong accounting background and experience within the financial services industry. The ideal candidate will have a proven ability to be successful in a fast-paced, demanding environment.</x:t>
        </x:is>
      </x:c>
      <x:c r="F11" t="inlineStr">
        <x:is>
          <x:t xml:space="preserve">Job requirements: 2-4 years experience in an accounting based role, public or corporate experience Financial services industry specialization BA/BS in Accounting/Finance CPA preferred Minimum GPA of 3.2/4.0 and proven record of academic success</x:t>
        </x:is>
      </x:c>
      <x:c r="G11" t="inlineStr">
        <x:is>
          <x:t xml:space="preserve">CHICAGO</x:t>
        </x:is>
      </x:c>
      <x:c r="H11" t="inlineStr">
        <x:is>
          <x:t xml:space="preserve">IL</x:t>
        </x:is>
      </x:c>
      <x:c r="I11" t="n">
        <x:v>2</x:v>
      </x:c>
      <x:c r="J11" t="str">
        <x:v>تطابق ممتاز في المؤهلات والخبرات العملية مع الشاغر الوظيفي (Accountant for top tier investment management firm).</x:v>
      </x:c>
      <x:c r="K11" t="n">
        <x:v>2</x:v>
      </x:c>
      <x:c r="L11" t="str">
        <x:v>توصية بالمقابلة: المهارات والمؤهلات تتوافق تماماً مع الوصف الوظيفي لـ Accountant for top tier investment management firm.</x:v>
      </x:c>
      <x:c r="M11" t="n">
        <x:v>2</x:v>
      </x:c>
      <x:c r="N11" t="n">
        <x:v>2</x:v>
      </x:c>
    </x:row>
    <x:row r="12">
      <x:c r="A12" t="inlineStr">
        <x:is>
          <x:t xml:space="preserve">RR-011</x:t>
        </x:is>
      </x:c>
      <x:c r="B12" t="inlineStr">
        <x:is>
          <x:t xml:space="preserve">CV-04</x:t>
        </x:is>
      </x:c>
      <x:c r="C12" t="inlineStr">
        <x:is>
          <x:t xml:space="preserve">degree: masters. experience level: senior-level. target role: supply chain manager. skills: budgeting, supply chain optimization, risk management, logistics, project management.</x:t>
        </x:is>
      </x:c>
      <x:c r="D12" t="inlineStr">
        <x:is>
          <x:t xml:space="preserve">Logistics Inventory Planner</x:t>
        </x:is>
      </x:c>
      <x:c r="E12" t="inlineStr">
        <x:is>
          <x:t xml:space="preserve">USG Corporation is North America’s number one building materials manufacturer and distributor. As the inventor of wallboard and ceiling tile, USG created North America’s building materials industry and we continue to be its leading innovator. Our ability to innovate has made us number one in the North American wallboard and joint treatment markets, number two in the ceilings market and helped us become the multi-billion dollar organization we are today. Our World-renowned brands include SHEETROCK Brand gypsum panels, DUROCK Brand cement board, FIBEROCK Brand gypsum fiber panels, DIAMOND and IMPERIAL plasters, and DONN Brand grid. Not only are these products known around the world, they are used in your home. In fact, our products are found in one out of three American houses. Most homes and commercial buildings contain one or more USG products. Job Description: Responsible for inventory planning and replenishment at multiple customer and 3rd party warehouses. Coordinates with internal and customer's supply chain teams to ensure sufficient inventory is maintained to meet service requirements. Reviews daily/weekly inventory reports from each distribution center, reconciles and adjusts inventory in Oracle and places inventory replenishment orders based on system generated recommendations. Enters railcars/trucks into customer inbound tracking system, receives inbound transfer receipts into Oracle inventory, and completes weekly shipment finalization process. Conducts safety stock and inventory analysis for assigned warehouses. Communicates with customer service, logistics and distribution centers to resolve supply disruptions and/or issues as they occur.</x:t>
        </x:is>
      </x:c>
      <x:c r="F12" t="inlineStr">
        <x:is>
          <x:t xml:space="preserve">BS degree in Supply Chain or Engineering plus 1-3 years business experience preferred. Excellent interpersonal, written, and verbal communication skills. Ability to interact effectively internally and externally with customer's supply chain teams. Attentive to detail; Strong analytical, organizational and fact based decision making skills. Ability to learn and use Oracle Advanced Supply Planning tools. Experience with Microsoft Office suite of applications with relevant experience in Excel and Access a plus.</x:t>
        </x:is>
      </x:c>
      <x:c r="G12" t="inlineStr">
        <x:is>
          <x:t xml:space="preserve">CHICAGO</x:t>
        </x:is>
      </x:c>
      <x:c r="H12" t="inlineStr">
        <x:is>
          <x:t xml:space="preserve">IL</x:t>
        </x:is>
      </x:c>
      <x:c r="I12" t="n">
        <x:v>1</x:v>
      </x:c>
      <x:c r="J12" t="str">
        <x:v>قبول مبدئي: المرشح يمتلك أساسيات قوية، لكن طبيعة دور Logistics Inventory Planner تختلف عن اهتمامه الرئيسي كـ supply chain manager.</x:v>
      </x:c>
      <x:c r="K12" t="n">
        <x:v>1</x:v>
      </x:c>
      <x:c r="L12" t="str">
        <x:v>وجهة نظر ثانية: الملف يظهر بعض التقارب، لكني أرى ضرورة التأكد من المهارات التخصصية في المقابلة.</x:v>
      </x:c>
      <x:c r="M12" t="n">
        <x:v>1</x:v>
      </x:c>
      <x:c r="N12" t="n">
        <x:v>1</x:v>
      </x:c>
    </x:row>
    <x:row r="13">
      <x:c r="A13" t="inlineStr">
        <x:is>
          <x:t xml:space="preserve">RR-012</x:t>
        </x:is>
      </x:c>
      <x:c r="B13" t="inlineStr">
        <x:is>
          <x:t xml:space="preserve">CV-13</x:t>
        </x:is>
      </x:c>
      <x:c r="C13" t="inlineStr">
        <x:is>
          <x:t xml:space="preserve">degree: bachelors. experience level: senior-level. target role: biomedical engineer. skills: clinical trials, medical devices, engineering, research, regulatory compliance.</x:t>
        </x:is>
      </x:c>
      <x:c r="D13" t="inlineStr">
        <x:is>
          <x:t xml:space="preserve">Externship Coordinator</x:t>
        </x:is>
      </x:c>
      <x:c r="E13" t="inlineStr">
        <x:is>
          <x:t xml:space="preserve">Purpose of the Position Responsible for, but not limited to, externship functions and duties for the school as they relate to supporting and maintaining effective relationships with local and regional corporations, non-profit and government organizations and community partners to promote the school’s qualified students, graduates, and alumni. Primary Duties and Responsibilities Demonstrates knowledge of, and carefully follows all applicable federal and state compliance requirements and regulations including those prescribed by the Department of Education, ABHES, and CIE. Effectively communicates compliance requirements to students and other staff as appropriate and quickly escalates any compliance concerns to the Compliance department. Facilitates the student’s transition from class work to externship. Maintains contact with employers to develop and enhance working relationships. Tracks extern attendance. Services the students, staff and employers. Ensures the up-to-date maintenance of the externship database, documentation, reports and students records in accordance with company policies, government regulations and accreditation standards.</x:t>
        </x:is>
      </x:c>
      <x:c r="F13" t="inlineStr">
        <x:is>
          <x:t xml:space="preserve">Education/Experience Associates degree or higher preferred. Minimum of 1 year of experience in education, placement, career services, staffing, business development or related field. 1+ year in the allied health field preferred Associated Knowledge, Skills &amp; Abilities Ability to multi-task and handle a high pressure environment with timeline pressures. Proven track record in professional sales or business development. Committed, with strong follow-up skills. Past success in servicing customers in a people-oriented industry. Basic computer proficiency. Dynamic, high-energy personality. Exceptional communication, presentation and interpersonal skills with the ability to establish rapport with a diverse customer base. Highly motivated, detail oriented with a can-do attitude.</x:t>
        </x:is>
      </x:c>
      <x:c r="G13" t="inlineStr">
        <x:is>
          <x:t xml:space="preserve">TAMPA</x:t>
        </x:is>
      </x:c>
      <x:c r="H13" t="inlineStr">
        <x:is>
          <x:t xml:space="preserve">FL</x:t>
        </x:is>
      </x:c>
      <x:c r="I13" t="n">
        <x:v>0</x:v>
      </x:c>
      <x:c r="J13" t="str">
        <x:v>عدم مطابقة: خبرات المرشح موجهة نحو biomedical engineer، وهي بعيدة عن متطلبات دور Externship Coordinator.</x:v>
      </x:c>
      <x:c r="K13" t="n">
        <x:v>1</x:v>
      </x:c>
      <x:c r="L13" t="str">
        <x:v>قبول مشروط: الخلفية المهنية قريبة نسبياً لـ Externship Coordinator، لكن يحتاج لتدريب على المهام الأساسية.</x:v>
      </x:c>
      <x:c r="M13" t="n">
        <x:v>0</x:v>
      </x:c>
      <x:c r="N13" t="n">
        <x:v>0</x:v>
      </x:c>
    </x:row>
    <x:row r="14">
      <x:c r="A14" t="inlineStr">
        <x:is>
          <x:t xml:space="preserve">RR-013</x:t>
        </x:is>
      </x:c>
      <x:c r="B14" t="inlineStr">
        <x:is>
          <x:t xml:space="preserve">CV-25</x:t>
        </x:is>
      </x:c>
      <x:c r="C14" t="inlineStr">
        <x:is>
          <x:t xml:space="preserve">degree: phd. experience level: senior-level. target role: graphic designer. skills: photo editing, branding, web design, adobe photoshop, typography.</x:t>
        </x:is>
      </x:c>
      <x:c r="D14" t="inlineStr">
        <x:is>
          <x:t xml:space="preserve">Senior Designer</x:t>
        </x:is>
      </x:c>
      <x:c r="E14" t="inlineStr">
        <x:is>
          <x:t xml:space="preserve">SENIOR DESIGNER – EAST OF QUEENS, ON LONG ISLAND, NY PeopleFind Inc. is an Executive Search and Outplacement firm committed to the delivery of outstanding results. For job seekers, we encourage you to visit our Web site and take advantage of the many free resources available to you. For employers, we promise to deliver the best service, price and guarantee combination available in the industry. Visit PeopleFindInc.com for more information. POSITION LOCATION: Position is based east of Queens, on Long Island, NY. We advertise in various locations to raise the visibility of this opportunity for those interested in relocating. THE OPPORTUNITY: Our client, a marketing communications and corporate design company, seeks to engage the services of a Senior Designer, experienced in corporate package design work in the food industry. This position is based east of Queens, on Long Island. RESPONSIBILITIES: Lead and manage large, complex client projects from strategy and concept development through production. Work with and lead a team of designers to design the overall look of a campaign, lead branding sessions, review client deliverables for strategy alignment, lead and direct concept development teams, do layout changes, design guidelines for multiple campaign deliverables. Present concepts with passion and credibility to internal and external clients.</x:t>
        </x:is>
      </x:c>
      <x:c r="F14" t="inlineStr">
        <x:is>
          <x:t xml:space="preserve">8 - 10 years experience in designing packaging, in-store and marketing materials. Bachelors Degree in Graphic Design. Experience managing within a client services environment. Excellent communication and presentation skills (verbal and written). Ability to delegate and coordinate work activities. Stays current on industry trends. Is driven to search out stimuli that will drive design expertise. Ability to multi-task and effectively work under changing priorities and deadlines. Strong problem solving skills with a strong attention to details. Mastery of Mac, Creative Suite, Microsoft Office, Quark, and Flash a plus. Team player, self-starter with positive “can-do" attitude. COMPENSATION: Salary is commensurate with experience. TO APPLY: Please state position applied for as “Senior Designer" and send resume by Email or Fax to PeopleFind Inc: Email: sds-c@peoplefindinc.com Fax: 1-866-477-9170 (toll-free) We appreciate all expressions of interest, however, as a practical matter, only select candidates whose backgrounds best match our client's requirements will be contacted. All resumes are retained and treated confidentially for consideration against future opportunities. CONFIDENTIALITY: Your resume is held in confidence and will not be sent to any employer without your prior permission. Services We Provide: Recruit for Most Business Roles : This includes management, executive, contract, temporary, temp, permanent, president, CEO, CIO, COO, CFO, CTO, C-Level, accounting, accountant, finance, financial, banking, legal, sales, sales representative, sales rep, retail, marketing, advertising, brand, branding, account executive, national accounts, key account, engineering, engineer, project manager, information technology, IT, human resources, HR, logistics, distribution, procurement, buyer, supply chain. Call us at 1-866-477-0855. Type of Executive Search / Recruiting Engagements : We work on retainer, exclusive contingency, and contingency agreements depending on complexity and confidentiality of assignment. We place both permanent and contact employees. Call us at 1-866-477-0855. PeopleFind Outplacement, Career Transition and Career Coaching : We provide career transition services including career assessment, job search planning, employment networking, resumes and cover letters, interview skills coaching, downsizings, terminations and reorganization consulting and all services associated with an employee release. We assist every level including executives, professionals, management and front line staff. We offer service worldwide using E-Learning via the web / internet and telephone and affiliates. Call us at 1-866-477-0855.</x:t>
        </x:is>
      </x:c>
      <x:c r="G14" t="inlineStr">
        <x:is>
          <x:t xml:space="preserve">MANHASSET</x:t>
        </x:is>
      </x:c>
      <x:c r="H14" t="inlineStr">
        <x:is>
          <x:t xml:space="preserve">NY</x:t>
        </x:is>
      </x:c>
      <x:c r="I14" t="n">
        <x:v>2</x:v>
      </x:c>
      <x:c r="J14" t="str">
        <x:v>السيرة الذاتية ممتازة ومطابقة بشكل مباشر لمهام ومتطلبات وظيفة Senior Designer. يوصى بالترشيح للمقابلة.</x:v>
      </x:c>
      <x:c r="K14" t="n">
        <x:v>2</x:v>
      </x:c>
      <x:c r="L14" t="str">
        <x:v>توصية بالمقابلة: المهارات والمؤهلات تتوافق تماماً مع الوصف الوظيفي لـ Senior Designer.</x:v>
      </x:c>
      <x:c r="M14" t="n">
        <x:v>2</x:v>
      </x:c>
      <x:c r="N14" t="n">
        <x:v>2</x:v>
      </x:c>
    </x:row>
    <x:row r="15">
      <x:c r="A15" t="inlineStr">
        <x:is>
          <x:t xml:space="preserve">RR-014</x:t>
        </x:is>
      </x:c>
      <x:c r="B15" t="inlineStr">
        <x:is>
          <x:t xml:space="preserve">CV-19</x:t>
        </x:is>
      </x:c>
      <x:c r="C15" t="inlineStr">
        <x:is>
          <x:t xml:space="preserve">degree: bachelors. experience level: senior-level. target role: chef. skills: food preparation, knife skills, presentation skills, menu planning, culinary skills.</x:t>
        </x:is>
      </x:c>
      <x:c r="D15" t="inlineStr">
        <x:is>
          <x:t xml:space="preserve">Management Trainees</x:t>
        </x:is>
      </x:c>
      <x:c r="E15" t="inlineStr">
        <x:is>
          <x:t xml:space="preserve">IT’S BO TIME MANAGEMENT PROGRAM TRI-ARC FOOD SYSTEMS, INC. dba BOJANGLES NOW HIRING MANAGER TRAINEES FOR ALL TRIANGLE AND SURROUNDING LOCATIONS We invite you to join our team. Come grow as we grow! Benefits: Medical and Disability Insurance, 401K Program, Paid Vacation, FMLA, Paid Training Phone: 919-859-1131 or FAX: 919-859-9361 EMAIL: jobs@bojanglesrdu.com</x:t>
        </x:is>
      </x:c>
      <x:c r="F15" t="inlineStr">
        <x:is>
          <x:t xml:space="preserve">See job description for requirements.</x:t>
        </x:is>
      </x:c>
      <x:c r="G15" t="inlineStr">
        <x:is>
          <x:t xml:space="preserve">RALEIGH</x:t>
        </x:is>
      </x:c>
      <x:c r="H15" t="inlineStr">
        <x:is>
          <x:t xml:space="preserve">NC</x:t>
        </x:is>
      </x:c>
      <x:c r="I15" t="n">
        <x:v>0</x:v>
      </x:c>
      <x:c r="J15" t="str">
        <x:v>المرشح غير مناسب لشاغر Management Trainees؛ توجهه المهني والمهارات المذكورة تنحصر في تخصص chef.</x:v>
      </x:c>
      <x:c r="K15" t="n">
        <x:v>0</x:v>
      </x:c>
      <x:c r="L15" t="str">
        <x:v>تقييم مستقل: المرشح مركز تماماً على مجال chef وهو بعيد عن النطاق التشغيلي لدور Management Trainees.</x:v>
      </x:c>
      <x:c r="M15" t="n">
        <x:v>0</x:v>
      </x:c>
      <x:c r="N15" t="n">
        <x:v>0</x:v>
      </x:c>
    </x:row>
    <x:row r="16">
      <x:c r="A16" t="inlineStr">
        <x:is>
          <x:t xml:space="preserve">RR-015</x:t>
        </x:is>
      </x:c>
      <x:c r="B16" t="inlineStr">
        <x:is>
          <x:t xml:space="preserve">CV-11</x:t>
        </x:is>
      </x:c>
      <x:c r="C16" t="inlineStr">
        <x:is>
          <x:t xml:space="preserve">degree: masters. experience level: senior-level. target role: machine learning engineer. skills: python, data science, data analysis, statistics, deep learning.</x:t>
        </x:is>
      </x:c>
      <x:c r="D16" t="inlineStr">
        <x:is>
          <x:t xml:space="preserve">Data Analysts - TWO POSITIONS AVAILABLE</x:t>
        </x:is>
      </x:c>
      <x:c r="E16" t="inlineStr">
        <x:is>
          <x:t xml:space="preserve">Data Analysts - TWO POSITIONS AVAILABLE Relational Database Structures, SQL Development Dimensional Modeling/Data Profiling, ETL (Extract, Transform and Load) Excel/Pivoting Capabilities and Analysis Modules Statistics, Analysis, Microsoft Office 2010 •*FOR NON-LOCAL CANDIDATES, POSITION REQUIRES 90+% TRAVEL** vtrIT has two long-term positions available in Orange, CA for a Data Analysts. Position Description: Specifically, we are looking for Data Analysts, experienced with working in SOA environments, for one of our healthcare clients. Candidates must have extensive Consulting experience, along with experience managing large Data Center migrations. Position Summary: The Data Analyst will: Strategically manage assigned data entities across the Enterprise, while ensuring high levels of Data Quality, integrity, availability and privacy. Standardize data naming, establishing consistent data definitions, and monitoring/auditing the Data Quality. Duties and Responsibilities: Perform Data Quality checks. Resolve profile and affiliation issues on a case-by-case basis. Ensure that Data Management methodologies include the steps, activities and deliverables required to consistently achieve high quality data. Ensure that applications adhere to defined Data Management practices, policies and procedures. Identify and manage the resolution of Data Quality issues, such as uniqueness, integrity, accuracy, consistency and completeness in a cost-effective and timely fashion. Document data sources, data types, dependencies and flows. Optimize existing PL/SQL scripts and ETL processes to minimize duplication. Review and discover data sources. Identify, analyze and interpret trends or patterns in complex data sets. Provide reporting and performance monitoring. Perform detailed data exploration and validation. These are estimated one-year PLUS contingent / temporary positions in Orange, CA, offered through vtrIT , located in Philadelphia, PA. We are among the largest staffing companies in the US for contingent/temporary and direct hire placements and support most of the top-rated companies in the US.</x:t>
        </x:is>
      </x:c>
      <x:c r="F16" t="inlineStr">
        <x:is>
          <x:t xml:space="preserve">Required Skills for Data Analysts include the following: Bachelor's Degree or higher in Engineering, Statistics, Technical, Math, or closely related discipline Strong understanding of Relational Database structures, theories, principles and practices SQL Development experience Experience with Dimensional Modeling and Data Profiling Strong understanding of ETL (Extract, Transform and Load) methodologies Working knowledge of Statistics Proficiency with Excel, including Pivoting capabilities and Analysis Modules Demonstrated experience in Analysis and presentation of data Healthcare industry experience strongly preferred Advanced analytical and problem-solving skills, with extreme attention to detail Superior verbal and written communication skills Proficiency in Microsoft Office Suite 2010 Able to prioritize effectively and meet strict deadlines while managing multiple, competing tasks Must be a strong team player, able to form functional work relationships with peers and superiors How to Apply: Please email your resume to vtrIT at: Philadelphia304835@vtrIT.com and reference the following in your subject line to ensure it gets routed to the correct Recruiter to readily discuss this job with you: 304835-9854-12-300544 - Data Analysts along with the website name where you saw this posting listed. Our vtrIT Recruiter will initiate a phone call to you and give you immediate consideration should your resume meet the job requirements. Please rest assured that if your resume matches what is reflected in this job posting, you should receive a phone call from a vtrIT Recruiter to discuss this position with you. Great companies rely on vtrIT for the talent to bring their IT projects to life. With vtrIT , you will have access to exclusive positions, leading-edge opportunities, and personalized placement. We offer competitive compensation and benefits. vtrIT is an Equal Opportunity Employer. Visit www.vtrIT.com for more information. Location: Orange, CA Type: CONTRACT Duration: 365+ Days Pay Rate: DOE Contact: vtrIT Philadelphia304835@vtrIT.com 1760 Market St., Ste. 802 Philadelphia, PA 19103 PH: 215/606-6966 FX: 215/561-0360</x:t>
        </x:is>
      </x:c>
      <x:c r="G16" t="inlineStr">
        <x:is>
          <x:t xml:space="preserve">ORANGE</x:t>
        </x:is>
      </x:c>
      <x:c r="H16" t="inlineStr">
        <x:is>
          <x:t xml:space="preserve">CA</x:t>
        </x:is>
      </x:c>
      <x:c r="I16" t="n">
        <x:v>1</x:v>
      </x:c>
      <x:c r="J16" t="str">
        <x:v>قبول مبدئي: المرشح يمتلك أساسيات قوية، لكن طبيعة دور Data Analysts - TWO POSITIONS AVAILABLE تختلف عن اهتمامه الرئيسي كـ machine learning engineer.</x:v>
      </x:c>
      <x:c r="K16" t="n">
        <x:v>1</x:v>
      </x:c>
      <x:c r="L16" t="str">
        <x:v>قبول مشروط: الخلفية المهنية قريبة نسبياً لـ Data Analysts - TWO POSITIONS AVAILABLE، لكن يحتاج لتدريب على المهام الأساسية.</x:v>
      </x:c>
      <x:c r="M16" t="n">
        <x:v>1</x:v>
      </x:c>
      <x:c r="N16" t="n">
        <x:v>1</x:v>
      </x:c>
    </x:row>
    <x:row r="17">
      <x:c r="A17" t="inlineStr">
        <x:is>
          <x:t xml:space="preserve">RR-016</x:t>
        </x:is>
      </x:c>
      <x:c r="B17" t="inlineStr">
        <x:is>
          <x:t xml:space="preserve">CV-03</x:t>
        </x:is>
      </x:c>
      <x:c r="C17" t="inlineStr">
        <x:is>
          <x:t xml:space="preserve">degree: phd. experience level: senior-level. target role: financial analyst. skills: forecasting, financial modelling, excel, budgeting, market research.</x:t>
        </x:is>
      </x:c>
      <x:c r="D17" t="inlineStr">
        <x:is>
          <x:t xml:space="preserve">Financial Analyst</x:t>
        </x:is>
      </x:c>
      <x:c r="E17" t="inlineStr">
        <x:is>
          <x:t xml:space="preserve">Compiles and analyzes financial information for an organization. Develops integrated revenue/expense analyses, projections, reports, and presentations. Creates and analyzes monthly, quarterly, and annual reports and ensures financial information has been recorded accurately. Identifies trends and developments in competitive environments and presents findings to senior management. Performs financial forecasting and reconciliation of internal accounts.</x:t>
        </x:is>
      </x:c>
      <x:c r="F17" t="inlineStr">
        <x:is>
          <x:t xml:space="preserve">Requires a bachelor's degree in accounting or finance and may be expected to have an advanced degree in a related area with at least 7 years of related experience. Familiar with a variety of the field's concepts, practices, and procedures. Relies on extensive experience and judgment to plan and accomplish goals. Performs a variety of tasks. Leads and directs the work of others.</x:t>
        </x:is>
      </x:c>
      <x:c r="G17" t="inlineStr">
        <x:is>
          <x:t xml:space="preserve">MIAMI</x:t>
        </x:is>
      </x:c>
      <x:c r="H17" t="inlineStr">
        <x:is>
          <x:t xml:space="preserve">FL</x:t>
        </x:is>
      </x:c>
      <x:c r="I17" t="n">
        <x:v>2</x:v>
      </x:c>
      <x:c r="J17" t="str">
        <x:v>مرشح قوي وجاهز للقيام بمهام Financial Analyst بناءً على الخلفية المهنية المعروضة.</x:v>
      </x:c>
      <x:c r="K17" t="n">
        <x:v>2</x:v>
      </x:c>
      <x:c r="L17" t="str">
        <x:v>توصية بالمقابلة: المهارات والمؤهلات تتوافق تماماً مع الوصف الوظيفي لـ Financial Analyst.</x:v>
      </x:c>
      <x:c r="M17" t="n">
        <x:v>2</x:v>
      </x:c>
      <x:c r="N17" t="n">
        <x:v>2</x:v>
      </x:c>
    </x:row>
    <x:row r="18">
      <x:c r="A18" t="inlineStr">
        <x:is>
          <x:t xml:space="preserve">RR-017</x:t>
        </x:is>
      </x:c>
      <x:c r="B18" t="inlineStr">
        <x:is>
          <x:t xml:space="preserve">CV-20</x:t>
        </x:is>
      </x:c>
      <x:c r="C18" t="inlineStr">
        <x:is>
          <x:t xml:space="preserve">degree: phd. experience level: mid-level. target role: ai researcher. skills: innovation, programming, research methodology, machine learning, deep learning.</x:t>
        </x:is>
      </x:c>
      <x:c r="D18" t="inlineStr">
        <x:is>
          <x:t xml:space="preserve">Technical Support Associate</x:t>
        </x:is>
      </x:c>
      <x:c r="E18" t="inlineStr">
        <x:is>
          <x:t xml:space="preserve">The Company Headquartered in the Scottsdale Airpark, Actual Metrics is a software company. We work in the Web Analytics space and we use tools like Google Analytics and Urchin Software to help companies measure and improve the impact of websites and online marketing initiatives. We've been in business since 2005 and have worked with a bunch of companies you may recognize, like P&amp;G, ING Direct, Apple, Facebook, Progressive Insurance, AT&amp;T, and lots more. The Opportunity For the past 10 years, the business software industry has been migrating to the cloud. It's gotten to the point that it's sometimes difficult to find a software product that you can download and run in your own environment. Cloud industry pundits say things like "software is dead, the cloud is the future for businesses, blah blah blah." We think this statement is only half correct. We think the private cloud (not the public cloud) is the future for business / educational / government organizations, and these private clouds will require software. So...we are in the process of developing and launching our own analytics software product, called Angelfish. As of today, we have a working alpha version of Angelfish, an outline of a International reseller network, 6+ years of profitable experience in the web analytics industry, and a significant amount of interest from current customers. We want to launch the product this quarter and we need some help to make it happen! You can learn more about Angelfish at www.angelfishstats.com The Gig We are looking to hire a junior-level Technical Support Associate who can pitch in and help in a variety of areas. Your primary function will be to learn how Angelfish and Urchin Software work so you can provide support to our customers, but you will be exposed to a variety of additional products and technologies - we're a small company and we always have various projects going on around here. Ideally, we'd like to hire someone who can start with support and grow into a larger role, like consulting, engineering, or sales. No staffing / recruiting agencies please!!</x:t>
        </x:is>
      </x:c>
      <x:c r="F18" t="inlineStr">
        <x:is>
          <x:t xml:space="preserve">REQUIRED SKILLS A demonstrated ability to teach yourself new stuff Network+ certification or equivalent knowledge Clear verbal and written communication A pleasant demeanor DESIRED SKILLS Linux and Windows proficiency HTML &amp; CSS Javascript Apache &amp; IIS Experience with web analytics software is a plus College degree preferred but not required. New graduates welcome to apply! Please apply for this position with the following information (incomplete applications will be ignored): Cover Letter or Writing Sample Resume No staffing / recruiting agencies please!!</x:t>
        </x:is>
      </x:c>
      <x:c r="G18" t="inlineStr">
        <x:is>
          <x:t xml:space="preserve">SCOTTSDALE</x:t>
        </x:is>
      </x:c>
      <x:c r="H18" t="inlineStr">
        <x:is>
          <x:t xml:space="preserve">AZ</x:t>
        </x:is>
      </x:c>
      <x:c r="I18" t="n">
        <x:v>0</x:v>
      </x:c>
      <x:c r="J18" t="str">
        <x:v>عدم مطابقة: خبرات المرشح موجهة نحو ai researcher، وهي بعيدة عن متطلبات دور Technical Support Associate.</x:v>
      </x:c>
      <x:c r="K18" t="n">
        <x:v>0</x:v>
      </x:c>
      <x:c r="L18" t="str">
        <x:v>تقييم مستقل: المرشح مركز تماماً على مجال ai researcher وهو بعيد عن النطاق التشغيلي لدور Technical Support Associate.</x:v>
      </x:c>
      <x:c r="M18" t="n">
        <x:v>0</x:v>
      </x:c>
      <x:c r="N18" t="n">
        <x:v>0</x:v>
      </x:c>
    </x:row>
    <x:row r="19">
      <x:c r="A19" t="inlineStr">
        <x:is>
          <x:t xml:space="preserve">RR-018</x:t>
        </x:is>
      </x:c>
      <x:c r="B19" t="inlineStr">
        <x:is>
          <x:t xml:space="preserve">CV-05</x:t>
        </x:is>
      </x:c>
      <x:c r="C19" t="inlineStr">
        <x:is>
          <x:t xml:space="preserve">degree: masters. experience level: senior-level. target role: database administrator. skills: optimization, cloud databases, sql, database management, performance tuning.</x:t>
        </x:is>
      </x:c>
      <x:c r="D19" t="inlineStr">
        <x:is>
          <x:t xml:space="preserve">Coll Grad/Receptionist/Recruiting Assistant!!!</x:t>
        </x:is>
      </x:c>
      <x:c r="E19" t="inlineStr">
        <x:is>
          <x:t xml:space="preserve">A boutique staffing agency serving a large number of creative and financial clients is in need of a TEMP TO PERM Receptionist/Recruiting Assistant. This entry level role is ideal for someone with an interest in human resources who is interested in learning all aspects of working in a fast paced staffing support business. Responsibilities: Cover Reception desk, Answer and direct high volume phone calls Meet and greet candidate and clients Handle special projects as needed Maintain detailed and busy calendar Track and order supplies and manage vendor contacts Liaise with clients and recruiters Handle personal tasks as needed</x:t>
        </x:is>
      </x:c>
      <x:c r="F19" t="inlineStr">
        <x:is>
          <x:t xml:space="preserve">Strong computer skills (Advanced Outlook is a must) Intermediate Word and Excel are a must Access or other database experience is helpful Excellent written and verbal communication skills Must be personable and friendly on the phone and in person Must have a strong "customer service" attitude Proofreading experience helpful Bachelor's Degree preferred 1+ years General Administrative experience helpful</x:t>
        </x:is>
      </x:c>
      <x:c r="G19" t="inlineStr">
        <x:is>
          <x:t xml:space="preserve">NEW YORK</x:t>
        </x:is>
      </x:c>
      <x:c r="H19" t="inlineStr">
        <x:is>
          <x:t xml:space="preserve">NY</x:t>
        </x:is>
      </x:c>
      <x:c r="I19" t="n">
        <x:v>0</x:v>
      </x:c>
      <x:c r="J19" t="str">
        <x:v>المؤهلات في السيرة الذاتية تخص مجالات database administrator فقط، ولا توجد خبرة سابقة في مسؤوليات Coll Grad/Receptionist/Recruiting Assistant!!!.</x:v>
      </x:c>
      <x:c r="K19" t="n">
        <x:v>0</x:v>
      </x:c>
      <x:c r="L19" t="str">
        <x:v>استبعاد: الفجوة كبيرة في المهارات بين التخصص المستهدف (database administrator) والمسؤوليات المحددة لـ Coll Grad/Receptionist/Recruiting Assistant!!!.</x:v>
      </x:c>
      <x:c r="M19" t="n">
        <x:v>0</x:v>
      </x:c>
      <x:c r="N19" t="n">
        <x:v>0</x:v>
      </x:c>
    </x:row>
    <x:row r="20">
      <x:c r="A20" t="inlineStr">
        <x:is>
          <x:t xml:space="preserve">RR-019</x:t>
        </x:is>
      </x:c>
      <x:c r="B20" t="inlineStr">
        <x:is>
          <x:t xml:space="preserve">CV-22</x:t>
        </x:is>
      </x:c>
      <x:c r="C20" t="inlineStr">
        <x:is>
          <x:t xml:space="preserve">degree: bachelors. experience level: senior-level. target role: psychologist. skills: clinical skills, therapy, cognitive behavioral therapy, psychopathology, mental health.</x:t>
        </x:is>
      </x:c>
      <x:c r="D20" t="inlineStr">
        <x:is>
          <x:t xml:space="preserve">Psychologist (5807)</x:t>
        </x:is>
      </x:c>
      <x:c r="E20" t="inlineStr">
        <x:is>
          <x:t xml:space="preserve">STG International, Inc. is seeking a Psychologist at a Federal Occupational Health facility in Amarillo, TX. Responsibilities include: Will provide expert advice to FOHS and Federal government agencies on Occupational Health issues involving mental or behavioral health. Will perform psychological evaluations and witness testimony regarding such issues as fitness for duty or reasonable accommodation. Administrative Duties: Reports to designated medical authority and determines the psychological fitness of an individual to participate in agency specific programs. Render consultation on critical incidents, temporary removals from duty for cause, and leadership/morale issues. Ensure that documentation meets OPM medical regulations unique to Federal employment (e.g., Veterans Hiring Preference and Bypass). Testify as an expert witness in Clinical Psychology during Administrative Review Hearings. Includes extensive consultation with customer agency Office of Chief Counsel and Officials regarding procedural, liability, and program issues. Must adhere to required customer agency SOPs, Policies, Procedures and Security/Reliability Training. Clinical Duties: Conduct psychological evaluations to determine if the individual represents a security concern; or has a condition that may prevent the individual from performing duties in a reliable and safe manner. Coordinate psychological evaluation findings with designated medical professionals and others as appropriate. Conduct behavioral consultations via derogatory file reviews. Make appropriate notifications to customer agency “…the psychologist … must immediately recommend medical removal or medical restrictions in writing to the appropriate HRP management official." [1] Develop and deliver training briefings as requested. Must be able to make accommodations to see the following groups of people in the time frame required by the customer agency. Must use customer agency specific required forms. Must conduct agency specific annual clinical structured interview. Must be able to administer and interpret the following tests: MMP-2 IPAT Personality Assessment Inventory CAGE or other substance abuse identification tool. Must meet customer agency instruction requirements and attend agency conferences, meetings or training, which may require out of town travel. Annual HRP Training 10 CFR 712 Updates Psychological Program Updates</x:t>
        </x:is>
      </x:c>
      <x:c r="F20" t="inlineStr">
        <x:is>
          <x:t xml:space="preserve">Hold a doctoral degree from a clinical psychology program that includes a one-year clinical internship approved by the American Psychological Associate or an equivalent program. Have accumulated a minimum of three years postdoctoral clinical experience with a major emphasis in psychological assessment and testing. Have a valid, unrestricted state license to practice clinical psychology in the state where psychological assessments occur. Be eligible for a high level Security Clearance (TS or higher) as requested by the customer agency. Ability to gain approval/nomination from the customer agency head quarters, per security background and credentials. Minimum Qualifications: Must have a Master’s Degree in Psychology and possess a current license to practice, with five (5) years experience working in the Federal government sector. Must be proficient using Microsoft applications, basic computer and website use. STG International, Inc. (STG) is a dynamic professional services company dedicated to providing the following leading-edge services to our government and military clientele: Medical Staffing Service - Human Resource Services and System Solution - Management and Data Resources Consulting Services - Professional and Administrative Services. Headquartered in Alexandria, VA, STG was founded in 1997 to provide high quality management and technical services to federal clients. Certified by the U.S. Small Business Administration as a woman- owned, minority business, STG is a financially sound organization poised for continued success, as is evidence by the company's exponential growth in recent years. *STG International is an EEO compliant organization</x:t>
        </x:is>
      </x:c>
      <x:c r="G20" t="inlineStr">
        <x:is>
          <x:t xml:space="preserve">AMARILLO</x:t>
        </x:is>
      </x:c>
      <x:c r="H20" t="inlineStr">
        <x:is>
          <x:t xml:space="preserve">TX</x:t>
        </x:is>
      </x:c>
      <x:c r="I20" t="n">
        <x:v>1</x:v>
      </x:c>
      <x:c r="J20" t="str">
        <x:v>قبول مبدئي: المرشح يمتلك أساسيات قوية، لكن طبيعة دور Psychologist (5807) تختلف عن اهتمامه الرئيسي كـ psychologist.</x:v>
      </x:c>
      <x:c r="K20" t="n">
        <x:v>1</x:v>
      </x:c>
      <x:c r="L20" t="str">
        <x:v>تقييم مستقل: توجد مهارات عامة يمكن الاستفادة منها، ولكن التأهيل غير مكتمل لوظيفة Psychologist (5807).</x:v>
      </x:c>
      <x:c r="M20" t="n">
        <x:v>1</x:v>
      </x:c>
      <x:c r="N20" t="n">
        <x:v>1</x:v>
      </x:c>
    </x:row>
    <x:row r="21">
      <x:c r="A21" t="inlineStr">
        <x:is>
          <x:t xml:space="preserve">RR-020</x:t>
        </x:is>
      </x:c>
      <x:c r="B21" t="inlineStr">
        <x:is>
          <x:t xml:space="preserve">CV-03</x:t>
        </x:is>
      </x:c>
      <x:c r="C21" t="inlineStr">
        <x:is>
          <x:t xml:space="preserve">degree: phd. experience level: senior-level. target role: financial analyst. skills: forecasting, financial modelling, excel, budgeting, market research.</x:t>
        </x:is>
      </x:c>
      <x:c r="D21" t="inlineStr">
        <x:is>
          <x:t xml:space="preserve">Senior Financial Analyst</x:t>
        </x:is>
      </x:c>
      <x:c r="E21" t="inlineStr">
        <x:is>
          <x:t xml:space="preserve">Sr. Financial Analyst Ocoee, FL Summary: An excellent full time opportunity now exists for a Sr. Financial Analyst in a 171-bed community Hospital. Qualified candidate will provide support for the financial management of hospital operations including analysis of complex financial information, financial planning and budgeting, month-end close transactions, service lines and ad hoc projects. Identifies opportunities for improvement in processes and assist in reducing costs or enhancing revenue. All activities resulting in improving hospital cost efficiencies. Health Central Hospital’s mission is to “improve the health of the community" by providing safe, quality healthcare services in an atmosphere of caring. Health Central’s commitment, attitude and actions reflect 60 years of service to its surrounding communities and neighbors. Our staff, made up of nearly 1600 employees and over 500 doctors, coupled with the most advanced equipment and technology, ensures that every patient receives the safe, quality and personalized care they deserve. Job Description: Prepares the financial details of the annual operating budget, including volume, revenue, FTEs and non-labor expenses. Ensures accurate collection of data and achievement of budget targets. Analyze profitability of new or existing Service lines to identify opportunities to reduce costs or increase reimbursement. Participates in Lean projects for developing and monitoring cost effective processes Reviews, creates, and maintains monthly departmental and executive financial reporting for accuracy and meaningfulness. Assists with interpretation, analyzes trends, and makes recommendations for action. Presents information in meaningful formats. Develops positive relationships with Department leaders and educates or provides them on-going training about financial statements and results. Liaisons with Department leaders on a regular basis to improve operations such as monitoring labor productivity, budget variances, and volume forecasting. Maintains all financial data and software applications. Within software applications, maintains tables and system administration tools for effective use. Perform special projects and/or other duties as requested. Salary history or salary requirements must be included in cover letter or resume to be considered for this position. Health Central 10000 W. Colonial Drive Ocoee, FL 34761 Email: careers@healthcentral.org Visit our website at www.healthcentral.org We are an equal opportunity employer</x:t>
        </x:is>
      </x:c>
      <x:c r="F21" t="inlineStr">
        <x:is>
          <x:t xml:space="preserve">Qualifications: BS degree in Finance, Economics, Accounting, MIS required Healthcare finance or accounting experience preferred Minimum 3 years experience in Financial Planning and Analysis or related area required</x:t>
        </x:is>
      </x:c>
      <x:c r="G21" t="inlineStr">
        <x:is>
          <x:t xml:space="preserve">OCOEE</x:t>
        </x:is>
      </x:c>
      <x:c r="H21" t="inlineStr">
        <x:is>
          <x:t xml:space="preserve">FL</x:t>
        </x:is>
      </x:c>
      <x:c r="I21" t="n">
        <x:v>2</x:v>
      </x:c>
      <x:c r="J21" t="str">
        <x:v>مرشح قوي وجاهز للقيام بمهام Senior Financial Analyst بناءً على الخلفية المهنية المعروضة.</x:v>
      </x:c>
      <x:c r="K21" t="n">
        <x:v>2</x:v>
      </x:c>
      <x:c r="L21" t="str">
        <x:v>تقييم ممتاز: السيرة الذاتية تفي بجميع الشروط وتظهر خبرة متقدمة في مجال Senior Financial Analyst.</x:v>
      </x:c>
      <x:c r="M21" t="n">
        <x:v>2</x:v>
      </x:c>
      <x:c r="N21" t="n">
        <x:v>2</x:v>
      </x:c>
    </x:row>
    <x:row r="22">
      <x:c r="A22" t="inlineStr">
        <x:is>
          <x:t xml:space="preserve">RR-021</x:t>
        </x:is>
      </x:c>
      <x:c r="B22" t="inlineStr">
        <x:is>
          <x:t xml:space="preserve">CV-12</x:t>
        </x:is>
      </x:c>
      <x:c r="C22" t="inlineStr">
        <x:is>
          <x:t xml:space="preserve">degree: phd. experience level: senior-level. target role: personal trainer. skills: fitness, anatomy, injury prevention, nutrition, exercise planning.</x:t>
        </x:is>
      </x:c>
      <x:c r="D22" t="inlineStr">
        <x:is>
          <x:t xml:space="preserve">CUSTOMER SERVICE</x:t>
        </x:is>
      </x:c>
      <x:c r="E22" t="inlineStr">
        <x:is>
          <x:t xml:space="preserve">We are a large outlet for a world wide appliance manufacturing company in DFW and we have immediate openings in our Customer Relations Department . The position is full time with a salary of $2,800 per month to start and has a competitive benefits package. This position requires an immediate start date. Our Company offers *Full Company Training *Great Base Salary *Benefits *Paid vacation *Advancement *Profit Sharing Requirements Must have 1 year of customer service experience and be able to start right immediately. The right candidate must also be able to pass a criminal background check with no felony convictions. For more info and to apply on-line, go to : http://www.cleanairtechjobs.com entry level, experience, career, career opportunity, advancement, retail manager, marketing, advertising, advertising representative, advertising rep., customer service, customer relations, customer service representative, customer service rep., customer sales, customer sales representative, customer sales rep., full time, full time work, full time job, full time jobs, full time positions, part time, part time work, part time job, part time jobs, part time positions, sales, salesman, sales person, sales representative, sales rep., selling, inside sales, outside sales, personal sales, account executive, account exec., account representative, account rep., temporary, temporary work, temporary job, university, university students, student, college, college students, summer, summer job, summer jobs, summer help, summer, Dallas, Denton, lewisville, Gainesville, Frisco, Plano, Mc Kinney, Lake Dallas, Highland Village, Flower mound, Carrolton, Richardson, Irving, Prosper, Aubrey, krugerville, garland, Grand prairie, Mesquite, Wiley, Collin County, Celina, Little Elm, Arlington, Murphey, Coppell, Tarrant County,Lavon, Requirements Must have 1 year prior customer service history to start.</x:t>
        </x:is>
      </x:c>
      <x:c r="F22" t="inlineStr">
        <x:is>
          <x:t xml:space="preserve">Must be able to start immediately and have no felony background.</x:t>
        </x:is>
      </x:c>
      <x:c r="G22" t="inlineStr">
        <x:is>
          <x:t xml:space="preserve">LEWISVILLE</x:t>
        </x:is>
      </x:c>
      <x:c r="H22" t="inlineStr">
        <x:is>
          <x:t xml:space="preserve">TX</x:t>
        </x:is>
      </x:c>
      <x:c r="I22" t="n">
        <x:v>0</x:v>
      </x:c>
      <x:c r="J22" t="str">
        <x:v>المرشح مستهدف العمل كـ personal trainer، بينما الوظيفة المعروضة هي CUSTOMER SERVICE. الاختلاف كبير في طبيعة المهام والمسار المهني.</x:v>
      </x:c>
      <x:c r="K22" t="n">
        <x:v>0</x:v>
      </x:c>
      <x:c r="L22" t="str">
        <x:v>استبعاد: الفجوة كبيرة في المهارات بين التخصص المستهدف (personal trainer) والمسؤوليات المحددة لـ CUSTOMER SERVICE.</x:v>
      </x:c>
      <x:c r="M22" t="n">
        <x:v>0</x:v>
      </x:c>
      <x:c r="N22" t="n">
        <x:v>0</x:v>
      </x:c>
    </x:row>
    <x:row r="23">
      <x:c r="A23" t="inlineStr">
        <x:is>
          <x:t xml:space="preserve">RR-022</x:t>
        </x:is>
      </x:c>
      <x:c r="B23" t="inlineStr">
        <x:is>
          <x:t xml:space="preserve">CV-18</x:t>
        </x:is>
      </x:c>
      <x:c r="C23" t="inlineStr">
        <x:is>
          <x:t xml:space="preserve">degree: phd. experience level: senior-level. target role: pharmacist. skills: pharmaceuticals, healthcare, medical terminology, patient consultation, medication dispensing.</x:t>
        </x:is>
      </x:c>
      <x:c r="D23" t="inlineStr">
        <x:is>
          <x:t xml:space="preserve">Analytical Biochemist</x:t>
        </x:is>
      </x:c>
      <x:c r="E23" t="inlineStr">
        <x:is>
          <x:t xml:space="preserve">We are seeking a scientist or senior scientist in analytical biochemistry. Responsibilities will include: development of analytical methods to characterize product and impurities in product development of release assays final drug product generation of written release assay protocols for use at a GMP pilot facility</x:t>
        </x:is>
      </x:c>
      <x:c r="F23" t="inlineStr">
        <x:is>
          <x:t xml:space="preserve">Requirements : PhD with 3+ years experience or MS degree with 5+ years experience or BS degree with 10+ years experience in analytical chemistry in a biotechnology/pharmaceutical company Expertise in HPLC, LC-MS, UV-VIS, light scattering analysis and other instruments Expertise in protein and polysaccharide analytical technologies Skilled in assay and method development Knowledge of protein and polysaccharide analytical methods Immunoassay development preferred Local candidates only please</x:t>
        </x:is>
      </x:c>
      <x:c r="G23" t="inlineStr">
        <x:is>
          <x:t xml:space="preserve">CAMBRIDGE</x:t>
        </x:is>
      </x:c>
      <x:c r="H23" t="inlineStr">
        <x:is>
          <x:t xml:space="preserve">MA</x:t>
        </x:is>
      </x:c>
      <x:c r="I23" t="n">
        <x:v>1</x:v>
      </x:c>
      <x:c r="J23" t="str">
        <x:v>الخلفية المهنية قريبة نسبياً وتدعم بعض جوانب العمل في Analytical Biochemist، إلا أن بعض المتطلبات تحتاج تدريب إضافي.</x:v>
      </x:c>
      <x:c r="K23" t="n">
        <x:v>1</x:v>
      </x:c>
      <x:c r="L23" t="str">
        <x:v>تقييم مستقل: توجد مهارات عامة يمكن الاستفادة منها، ولكن التأهيل غير مكتمل لوظيفة Analytical Biochemist.</x:v>
      </x:c>
      <x:c r="M23" t="n">
        <x:v>1</x:v>
      </x:c>
      <x:c r="N23" t="n">
        <x:v>1</x:v>
      </x:c>
    </x:row>
    <x:row r="24">
      <x:c r="A24" t="inlineStr">
        <x:is>
          <x:t xml:space="preserve">RR-023</x:t>
        </x:is>
      </x:c>
      <x:c r="B24" t="inlineStr">
        <x:is>
          <x:t xml:space="preserve">CV-20</x:t>
        </x:is>
      </x:c>
      <x:c r="C24" t="inlineStr">
        <x:is>
          <x:t xml:space="preserve">degree: phd. experience level: mid-level. target role: ai researcher. skills: innovation, programming, research methodology, machine learning, deep learning.</x:t>
        </x:is>
      </x:c>
      <x:c r="D24" t="inlineStr">
        <x:is>
          <x:t xml:space="preserve">Legal Assistant</x:t>
        </x:is>
      </x:c>
      <x:c r="E24" t="inlineStr">
        <x:is>
          <x:t xml:space="preserve">Professional Employment Solutions, the premier staffing agency in the Valley, is currently looking for an Legal Assistant for a temp to hire position in the East Valley. Client is looking for the following: Preparing and processing legal documents Taking / making calls regarding legal issues, contracts,etc. Organizing legal documents and files Providing general legal advice on corporate issues Assisting all attorneys in collecting all needed information Putting together employee contracts Reviewing proposals Completing new hire applications Preparing and distributing invoices to bill clients or pay account expenses. Reviewing proposals and giving briefings on requirements to team members as needed. Preparing contracts for review, submission and signature</x:t>
        </x:is>
      </x:c>
      <x:c r="F24" t="inlineStr">
        <x:is>
          <x:t xml:space="preserve">MS Word, Excel, Outlook, Publisher 3+ years as a Legal Assistant</x:t>
        </x:is>
      </x:c>
      <x:c r="G24" t="inlineStr">
        <x:is>
          <x:t xml:space="preserve">SCOTTSDALE</x:t>
        </x:is>
      </x:c>
      <x:c r="H24" t="inlineStr">
        <x:is>
          <x:t xml:space="preserve">AZ</x:t>
        </x:is>
      </x:c>
      <x:c r="I24" t="n">
        <x:v>0</x:v>
      </x:c>
      <x:c r="J24" t="str">
        <x:v>المؤهلات في السيرة الذاتية تخص مجالات ai researcher فقط، ولا توجد خبرة سابقة في مسؤوليات Legal Assistant.</x:v>
      </x:c>
      <x:c r="K24" t="n">
        <x:v>0</x:v>
      </x:c>
      <x:c r="L24" t="str">
        <x:v>تقييم مستقل: المرشح مركز تماماً على مجال ai researcher وهو بعيد عن النطاق التشغيلي لدور Legal Assistant.</x:v>
      </x:c>
      <x:c r="M24" t="n">
        <x:v>0</x:v>
      </x:c>
      <x:c r="N24" t="n">
        <x:v>0</x:v>
      </x:c>
    </x:row>
    <x:row r="25">
      <x:c r="A25" t="inlineStr">
        <x:is>
          <x:t xml:space="preserve">RR-024</x:t>
        </x:is>
      </x:c>
      <x:c r="B25" t="inlineStr">
        <x:is>
          <x:t xml:space="preserve">CV-24</x:t>
        </x:is>
      </x:c>
      <x:c r="C25" t="inlineStr">
        <x:is>
          <x:t xml:space="preserve">degree: phd. experience level: senior-level. target role: accountant. skills: financial analysis, accounting software, auditing, budgeting, spreadsheet skills.</x:t>
        </x:is>
      </x:c>
      <x:c r="D25" t="inlineStr">
        <x:is>
          <x:t xml:space="preserve">Senior Accountant- $60,000-$80,000</x:t>
        </x:is>
      </x:c>
      <x:c r="E25" t="inlineStr">
        <x:is>
          <x:t xml:space="preserve">Successful organization looking for a Senior Accountant to join their team. This position is open due to growth and will provide an excellent opportunity for advancement . Primary responsibilities are : - to prepare financial statements and supporting schedules according to monthly close schedule - Facilitate and complete monthly close procedures - Analyze revenues, commissions and expenses to ensure they are recorded appropriately on a monthly basis - Prepare monthly account reconciliations - Assist with analyzing financial statements on a monthly basis and report on variances - Other projects as assigned</x:t>
        </x:is>
      </x:c>
      <x:c r="F25" t="inlineStr">
        <x:is>
          <x:t xml:space="preserve">- Bachelors degree in Accounting/Finance from 4 year university - 3+ years related experience -CPA designation highly preferred - Excellent ability with Excel</x:t>
        </x:is>
      </x:c>
      <x:c r="G25" t="inlineStr">
        <x:is>
          <x:t xml:space="preserve">CHICAGO</x:t>
        </x:is>
      </x:c>
      <x:c r="H25" t="inlineStr">
        <x:is>
          <x:t xml:space="preserve">IL</x:t>
        </x:is>
      </x:c>
      <x:c r="I25" t="n">
        <x:v>2</x:v>
      </x:c>
      <x:c r="J25" t="str">
        <x:v>مرشح قوي وجاهز للقيام بمهام Senior Accountant- $60,000-$80,000 بناءً على الخلفية المهنية المعروضة.</x:v>
      </x:c>
      <x:c r="K25" t="n">
        <x:v>2</x:v>
      </x:c>
      <x:c r="L25" t="str">
        <x:v>مرشح قوي: المطابقة عالية ومباشرة لجميع المسؤوليات اليومية المطلوبة.</x:v>
      </x:c>
      <x:c r="M25" t="n">
        <x:v>2</x:v>
      </x:c>
      <x:c r="N25" t="n">
        <x:v>2</x:v>
      </x:c>
    </x:row>
    <x:row r="26">
      <x:c r="A26" t="inlineStr">
        <x:is>
          <x:t xml:space="preserve">RR-025</x:t>
        </x:is>
      </x:c>
      <x:c r="B26" t="inlineStr">
        <x:is>
          <x:t xml:space="preserve">CV-11</x:t>
        </x:is>
      </x:c>
      <x:c r="C26" t="inlineStr">
        <x:is>
          <x:t xml:space="preserve">degree: masters. experience level: senior-level. target role: machine learning engineer. skills: python, data science, data analysis, statistics, deep learning.</x:t>
        </x:is>
      </x:c>
      <x:c r="D26" t="inlineStr">
        <x:is>
          <x:t xml:space="preserve">Payroll Assistant</x:t>
        </x:is>
      </x:c>
      <x:c r="E26" t="inlineStr">
        <x:is>
          <x:t xml:space="preserve">We are seeking a unique individual to fulfill a vital position within our Payroll Department This position is available immediately. The primary responsibilities for the Payroll Assistant include the following: Compiles payroll data such as commissions, bonuses, garnishments, vacation time and any deductions. Receives report of employee hours worked and verifies for completeness and accuracy. Contacts various department supervisors for any missed times. Transmits payroll data, maintains related records and change orders including employee files. Compiles internal management reports from payroll software. Supports the balance of the accounting staff with general accounting as well as accounts payable which will necessitate extensive knowledge of Peachtree Accounting Software as well as general financial reporting. Additional tasks my include bank reconciliation, general ledger entries. Makes supervisor and senior management aware of any new or unusual developments regarding any and all payroll issues or issues of Company concern. Other duties may be assigned. Competitive salary is offered based on experience. All of our employees are offered a gym membership to all of our facilities and the opportunity to participate in our fitness programs. Position is available immediately; forward cover letter, resume and salary history.</x:t>
        </x:is>
      </x:c>
      <x:c r="F26" t="inlineStr">
        <x:is>
          <x:t xml:space="preserve">Requirements are as follows: . Demonstrates ability to understand customer is #1 both internally and externally Ability to use sound business judgment and have strong analytical skills Ability to effectively communicate with the least amount of disturbance to all employees Must possess enthusiasm and a willingness to promote brand recognition Strong and effective interpersonal skills Ability to be proactive and self directed Effective listening skills Effective and follow-up skills Effective planning and organization skills Demonstrates ability to create a positive environment Demonstrates willingness and openness for self development Ability to identify and use resources to improve overall operations Peachtree Accounting Software Microsoft Office Suite: Word, Excel, PowerPoint, Outlook Compensation is based on experience. We offer a rewarding work environment with a pleasant atmosphere. Apply today!</x:t>
        </x:is>
      </x:c>
      <x:c r="G26" t="inlineStr">
        <x:is>
          <x:t xml:space="preserve">NORTHRIDGE</x:t>
        </x:is>
      </x:c>
      <x:c r="H26" t="inlineStr">
        <x:is>
          <x:t xml:space="preserve">CA</x:t>
        </x:is>
      </x:c>
      <x:c r="I26" t="n">
        <x:v>0</x:v>
      </x:c>
      <x:c r="J26" t="str">
        <x:v>لا يوجد أي تقاطع مهني بين دور Payroll Assistant المطلوبة والاهتمام المهني للمرشح كـ machine learning engineer.</x:v>
      </x:c>
      <x:c r="K26" t="n">
        <x:v>0</x:v>
      </x:c>
      <x:c r="L26" t="str">
        <x:v>ملاحظة المراجع الثاني: بعد التدقيق، لا توجد خبرة عمل معتمدة تتناسب مع متطلبات وظيفة Payroll Assistant.</x:v>
      </x:c>
      <x:c r="M26" t="n">
        <x:v>0</x:v>
      </x:c>
      <x:c r="N26" t="n">
        <x:v>0</x:v>
      </x:c>
    </x:row>
    <x:row r="27">
      <x:c r="A27" t="inlineStr">
        <x:is>
          <x:t xml:space="preserve">RR-026</x:t>
        </x:is>
      </x:c>
      <x:c r="B27" t="inlineStr">
        <x:is>
          <x:t xml:space="preserve">CV-02</x:t>
        </x:is>
      </x:c>
      <x:c r="C27" t="inlineStr">
        <x:is>
          <x:t xml:space="preserve">degree: bachelors. experience level: mid-level. target role: physician. skills: healthcare, pharmacology, medical terminology, patient care, surgical skills.</x:t>
        </x:is>
      </x:c>
      <x:c r="D27" t="inlineStr">
        <x:is>
          <x:t xml:space="preserve">Healthcare Director of Business Development</x:t>
        </x:is>
      </x:c>
      <x:c r="E27" t="inlineStr">
        <x:is>
          <x:t xml:space="preserve">The Director of Business Development is responsible for directing the Business Development/Community Educatin efforts and for continuous refinement of the facility's business development plans. Consults with the CEO and other Senior Management staff regularly to report activities of the Business Development Team. Designs, develops, implements and directs the marketing and business development strategic goals. Is responsible for reporting, analyzing and presenting current market data and trends with recommendations for actions.</x:t>
        </x:is>
      </x:c>
      <x:c r="F27" t="inlineStr">
        <x:is>
          <x:t xml:space="preserve">Bachelor's Degree in Business Administration or related Field is required. Combination of education and experience may be considered. Must have a minimium of 5 years director or manager level experience in healthcare business development with extensive community education experiences resulting in measurable results and direct experience developing managed care agreements. Psychiatric/Mental Health, Chemical Dependency knowledge is required.</x:t>
        </x:is>
      </x:c>
      <x:c r="G27" t="inlineStr">
        <x:is>
          <x:t xml:space="preserve">ARLINGTON</x:t>
        </x:is>
      </x:c>
      <x:c r="H27" t="inlineStr">
        <x:is>
          <x:t xml:space="preserve">TX</x:t>
        </x:is>
      </x:c>
      <x:c r="I27" t="n">
        <x:v>0</x:v>
      </x:c>
      <x:c r="J27" t="str">
        <x:v>المرشح مستهدف العمل كـ physician، بينما الوظيفة المعروضة هي Healthcare Director of Business Development. الاختلاف كبير في طبيعة المهام والمسار المهني.</x:v>
      </x:c>
      <x:c r="K27" t="n">
        <x:v>0</x:v>
      </x:c>
      <x:c r="L27" t="str">
        <x:v>تقييم مستقل: المرشح مركز تماماً على مجال physician وهو بعيد عن النطاق التشغيلي لدور Healthcare Director of Business Development.</x:v>
      </x:c>
      <x:c r="M27" t="n">
        <x:v>0</x:v>
      </x:c>
      <x:c r="N27" t="n">
        <x:v>0</x:v>
      </x:c>
    </x:row>
    <x:row r="28">
      <x:c r="A28" t="inlineStr">
        <x:is>
          <x:t xml:space="preserve">RR-027</x:t>
        </x:is>
      </x:c>
      <x:c r="B28" t="inlineStr">
        <x:is>
          <x:t xml:space="preserve">CV-21</x:t>
        </x:is>
      </x:c>
      <x:c r="C28" t="inlineStr">
        <x:is>
          <x:t xml:space="preserve">degree: bachelors. experience level: mid-level. target role: data analyst. skills: sql, data reporting, excel, statistics, data analysis.</x:t>
        </x:is>
      </x:c>
      <x:c r="D28" t="inlineStr">
        <x:is>
          <x:t xml:space="preserve">Trial Analyst / Business Analyst</x:t>
        </x:is>
      </x:c>
      <x:c r="E28" t="inlineStr">
        <x:is>
          <x:t xml:space="preserve">Only candidates who can work on W2 and have the skill set apply to the following position. You can apply with your updated resume to ssodhi@us-buxton.com or call Simmi Sodhi at 1-925-336-1770 Title: Trial Analyst / Business Analyst Location: San Jose Duration 12 months Rate: $70/hr to $75/hr on W2 Position Summary Responsibilities Provide integrated analytical solutions across customers and channels to improve decision-making for the Web and BU trial teams.. Collaborate with partners to understand and document critical business needs for improved usability of data in support of analytic projects and communication objectives, e.g., segmentation strategies and tactics, reporting and tracking needs. Analyze user activities and develop user segmentation and methodologies that support trial conversion programs. Utilize expert knowledge of business data and website usage to drive requirements for improved targeting and analytics. Provide campaign reporting, insights and recommendations to BUs on a regular basis. Discover new paths for growth by uncovering untapped marketing opportunities</x:t>
        </x:is>
      </x:c>
      <x:c r="F28" t="inlineStr">
        <x:is>
          <x:t xml:space="preserve">Job requires a bachelor degree and extensive practical experience in analyzing marketing data. 5-10 years of experience in database marketing using sophisticated database management and market intelligence software to build customer profiles/segmentation, mine the customer database to create actionable insights / reporting and optimize ongoing programs. Self-starter, with a curiosity to explore data and bring novel approaches to quickly solving business problems. Excellent communication and problem-solving skills. Ability to speak the language of Marketing, Sales and IT in order to translate requirements and manage the analysis and reporting from a strategic perspective. Must be flexible, able to balance multiple projects concurrently and enjoy a fast-moving, evolving environment. Ability to communicate effectively while setting priorities with business stakeholders; manage cross-departmental relationships. Firm understanding and experience with CRM, marketing automation tools (eg. Eloqua/Aprimo), database architecture, Microsoft Excel, and other systems and tools associated with accessing, analyzing and visually presenting data to a variety of audiences. Strong project management skills required. Strong SAS, SQL programming and data processing experience required. Online marketing analysis experience a plus. History Marketing Analytics – Strong analysis background. Database Marketing/ Data Mining Test Analyst</x:t>
        </x:is>
      </x:c>
      <x:c r="G28" t="inlineStr">
        <x:is>
          <x:t xml:space="preserve">SAN JOSE</x:t>
        </x:is>
      </x:c>
      <x:c r="H28" t="inlineStr">
        <x:is>
          <x:t xml:space="preserve">CA</x:t>
        </x:is>
      </x:c>
      <x:c r="I28" t="n">
        <x:v>1</x:v>
      </x:c>
      <x:c r="J28" t="str">
        <x:v>قبول مبدئي: المرشح يمتلك أساسيات قوية، لكن طبيعة دور Trial Analyst / Business Analyst تختلف عن اهتمامه الرئيسي كـ data analyst.</x:v>
      </x:c>
      <x:c r="K28" t="n">
        <x:v>1</x:v>
      </x:c>
      <x:c r="L28" t="str">
        <x:v>قبول مشروط: الخلفية المهنية قريبة نسبياً لـ Trial Analyst / Business Analyst، لكن يحتاج لتدريب على المهام الأساسية.</x:v>
      </x:c>
      <x:c r="M28" t="n">
        <x:v>1</x:v>
      </x:c>
      <x:c r="N28" t="n">
        <x:v>1</x:v>
      </x:c>
    </x:row>
    <x:row r="29">
      <x:c r="A29" t="inlineStr">
        <x:is>
          <x:t xml:space="preserve">RR-028</x:t>
        </x:is>
      </x:c>
      <x:c r="B29" t="inlineStr">
        <x:is>
          <x:t xml:space="preserve">CV-22</x:t>
        </x:is>
      </x:c>
      <x:c r="C29" t="inlineStr">
        <x:is>
          <x:t xml:space="preserve">degree: bachelors. experience level: senior-level. target role: psychologist. skills: clinical skills, therapy, cognitive behavioral therapy, psychopathology, mental health.</x:t>
        </x:is>
      </x:c>
      <x:c r="D29" t="inlineStr">
        <x:is>
          <x:t xml:space="preserve">Clinical Director</x:t>
        </x:is>
      </x:c>
      <x:c r="E29" t="inlineStr">
        <x:is>
          <x:t xml:space="preserve">ResCare Premier is seeking a licensed psychologist with experience in neuropsychology and brain injury rehabilitation. The Clinical Director's responsibilities include: * Develop and monitor treatment programs to address the unique needs of persons with brain injury * Direct an interdisciplinary team * Provide brain injury education to residents, families, and staff * Introduce innovative, evidence-based treatment strategies * Provide individual and group therapy to facilitate psychological and social adjustment * Advocate for persons with brain injury in legislative and community activities</x:t>
        </x:is>
      </x:c>
      <x:c r="F29" t="inlineStr">
        <x:is>
          <x:t xml:space="preserve">Candidate must have a doctoral degree in psychology and three years experience in neuropsychology and the brain injury field. Must be a licensed psychologist in the state of Texas.</x:t>
        </x:is>
      </x:c>
      <x:c r="G29" t="inlineStr">
        <x:is>
          <x:t xml:space="preserve">SAN MARCOS</x:t>
        </x:is>
      </x:c>
      <x:c r="H29" t="inlineStr">
        <x:is>
          <x:t xml:space="preserve">TX</x:t>
        </x:is>
      </x:c>
      <x:c r="I29" t="n">
        <x:v>1</x:v>
      </x:c>
      <x:c r="J29" t="str">
        <x:v>تقارب جزئي في المهارات العملية، ولكن يحتاج لمراجعة تفصيلية في المقابلة للتأكد من مدى ملاءمته لمهام Clinical Director.</x:v>
      </x:c>
      <x:c r="K29" t="n">
        <x:v>1</x:v>
      </x:c>
      <x:c r="L29" t="str">
        <x:v>تقييم مستقل: توجد مهارات عامة يمكن الاستفادة منها، ولكن التأهيل غير مكتمل لوظيفة Clinical Director.</x:v>
      </x:c>
      <x:c r="M29" t="n">
        <x:v>1</x:v>
      </x:c>
      <x:c r="N29" t="n">
        <x:v>1</x:v>
      </x:c>
    </x:row>
    <x:row r="30">
      <x:c r="A30" t="inlineStr">
        <x:is>
          <x:t xml:space="preserve">RR-029</x:t>
        </x:is>
      </x:c>
      <x:c r="B30" t="inlineStr">
        <x:is>
          <x:t xml:space="preserve">CV-03</x:t>
        </x:is>
      </x:c>
      <x:c r="C30" t="inlineStr">
        <x:is>
          <x:t xml:space="preserve">degree: phd. experience level: senior-level. target role: financial analyst. skills: forecasting, financial modelling, excel, budgeting, market research.</x:t>
        </x:is>
      </x:c>
      <x:c r="D30" t="inlineStr">
        <x:is>
          <x:t xml:space="preserve">Senior Financial Analyst</x:t>
        </x:is>
      </x:c>
      <x:c r="E30" t="inlineStr">
        <x:is>
          <x:t xml:space="preserve">Channel Intelligence is developing the next generation e-Commerce platform. We are currently looking for the industry’s brightest innovators to be a part of our explosive growth and we grant stock options to every member of our team so you can personally own a part of the future. Responsibilities: Prepare detailed analysis of financial and operating results. Preparation and delivery of corporate financial models, budgets, forecasts, etc. Prepare detailed operational and sales analysis, such as sales activity/bookings, cancellations/churn, Key Performance Indicators, variance reporting, Management Discussion and Analysis Assist with the preparation and delivery of BOD and Executive Reporting Packages. Ad-Hoc analysis, modeling and project management as required. Work with executive leadership team members on strategic projects Required Interpersonal Skills: Strong analytical reporting skills - Experience with creating financial analystical reports Strong analytical skills and a keen attention to detail Ability to prioritize Great organizational skills Strong multi-tasking skills Effective communication skills for interaction with internal clients, superiors and peers based on their information needs Ability to support senior decision makers in operational teams</x:t>
        </x:is>
      </x:c>
      <x:c r="F30" t="inlineStr">
        <x:is>
          <x:t xml:space="preserve">Requirements: (do not apply if you do not have ALL of these items) Bachelors Degree in Accounting or Finance 3 Years minimum experience in Finance and Accounting Financial Analysis and Modeling skills Advanced MS Excel skills required (VBA a plus) Excellent MS Office Professional Skills (Word, PowerPoint, etc) Ability to communicate effectively both orally and in writing Strong analytical reporting skills About Channel Intelligence (CI) : CI is an industry leading online marketing product/services company that helps retailers and manufacturers, make their products and services easier for consumers purchase via online marketing, mobile and social solutions in a highly relevant and personal manner. Some of our customers include P&amp;G, Black &amp; Decker, Garmin, hp, Philips, Cisco, Canon, Nikon, 3M, Yamaha, LG Electronics, Grainger, Stanley, Xerox, Intel and many others. CI currently provides solutions to efficiently sell manufacturer’s products in over 30 countries in North/South America, Europe and Asia. Founded in 1999 CI is headquartered in Orlando, FL., with offices in: Scottsdale, AZ; London, UK; and Shanghai, China. Learn more at www.channelintelligence.com . Note: If your background is a fit with the requirements you will be contacted directly. No agencies or consulting companies please.</x:t>
        </x:is>
      </x:c>
      <x:c r="G30" t="inlineStr">
        <x:is>
          <x:t xml:space="preserve">CELEBRATION</x:t>
        </x:is>
      </x:c>
      <x:c r="H30" t="inlineStr">
        <x:is>
          <x:t xml:space="preserve">FL</x:t>
        </x:is>
      </x:c>
      <x:c r="I30" t="n">
        <x:v>2</x:v>
      </x:c>
      <x:c r="J30" t="str">
        <x:v>السيرة الذاتية ممتازة ومطابقة بشكل مباشر لمهام ومتطلبات وظيفة Senior Financial Analyst. يوصى بالترشيح للمقابلة.</x:v>
      </x:c>
      <x:c r="K30" t="n">
        <x:v>2</x:v>
      </x:c>
      <x:c r="L30" t="str">
        <x:v>تقييم ممتاز: السيرة الذاتية تفي بجميع الشروط وتظهر خبرة متقدمة في مجال Senior Financial Analyst.</x:v>
      </x:c>
      <x:c r="M30" t="n">
        <x:v>2</x:v>
      </x:c>
      <x:c r="N30" t="n">
        <x:v>2</x:v>
      </x:c>
    </x:row>
    <x:row r="31">
      <x:c r="A31" t="inlineStr">
        <x:is>
          <x:t xml:space="preserve">RR-030</x:t>
        </x:is>
      </x:c>
      <x:c r="B31" t="inlineStr">
        <x:is>
          <x:t xml:space="preserve">CV-28</x:t>
        </x:is>
      </x:c>
      <x:c r="C31" t="inlineStr">
        <x:is>
          <x:t xml:space="preserve">degree: bachelors. experience level: mid-level. target role: ai specialist. skills: tensorflow, neural networks, deep learning, machine learning, nlp.</x:t>
        </x:is>
      </x:c>
      <x:c r="D31" t="inlineStr">
        <x:is>
          <x:t xml:space="preserve">Entry Level Engineer</x:t>
        </x:is>
      </x:c>
      <x:c r="E31" t="inlineStr">
        <x:is>
          <x:t xml:space="preserve">Entry Level Engineer Job Entry / Associate Level Fire Protection Engineer needed for a direct hire position in MA. You will need a BS in Engineering, Fire Protection concentration preferred. 0-3 years of related work experience. Strong written and verbal communications skills are a must. Local candidates preferred. Responsibilities Serve as junior technical advisor to projects in the development of safety codes and standards for fire prevention Manage basic technical activities and projects throughout the document development process. Assist Division Manager to review agendas, gather missing agenda information and minutes and attend meetings. Collaborate with senior staff in the compilation of information and review product development issues Provide basic technical services in support of internal and external association activities Manage special projects as assigned Requirements BS in Engineering, Mechanical or Fire Protection preferred Must have strong written and verbal communication skills 0-3 years related work experience Keywords: fire protection, procedure writer, codes and standards, engineer, bachelors, engineering Entry Level Engineer Job</x:t>
        </x:is>
      </x:c>
      <x:c r="F31" t="inlineStr">
        <x:is>
          <x:t xml:space="preserve"/>
        </x:is>
      </x:c>
      <x:c r="G31" t="inlineStr">
        <x:is>
          <x:t xml:space="preserve">BOSTON</x:t>
        </x:is>
      </x:c>
      <x:c r="H31" t="inlineStr">
        <x:is>
          <x:t xml:space="preserve">MA</x:t>
        </x:is>
      </x:c>
      <x:c r="I31" t="n">
        <x:v>0</x:v>
      </x:c>
      <x:c r="J31" t="str">
        <x:v>لا يوجد أي تقاطع مهني بين دور Entry Level Engineer المطلوبة والاهتمام المهني للمرشح كـ ai specialist.</x:v>
      </x:c>
      <x:c r="K31" t="n">
        <x:v>0</x:v>
      </x:c>
      <x:c r="L31" t="str">
        <x:v>استبعاد: الفجوة كبيرة في المهارات بين التخصص المستهدف (ai specialist) والمسؤوليات المحددة لـ Entry Level Engineer.</x:v>
      </x:c>
      <x:c r="M31" t="n">
        <x:v>0</x:v>
      </x:c>
      <x:c r="N31" t="n">
        <x:v>0</x:v>
      </x:c>
    </x:row>
    <x:row r="32">
      <x:c r="A32" t="inlineStr">
        <x:is>
          <x:t xml:space="preserve">RR-031</x:t>
        </x:is>
      </x:c>
      <x:c r="B32" t="inlineStr">
        <x:is>
          <x:t xml:space="preserve">CV-30</x:t>
        </x:is>
      </x:c>
      <x:c r="C32" t="inlineStr">
        <x:is>
          <x:t xml:space="preserve">degree: masters. experience level: senior-level. target role: pilot. skills: navigation, air traffic control, risk management, emergency response, weather analysis.</x:t>
        </x:is>
      </x:c>
      <x:c r="D32" t="inlineStr">
        <x:is>
          <x:t xml:space="preserve">PROJECT COORDINATOR</x:t>
        </x:is>
      </x:c>
      <x:c r="E32" t="inlineStr">
        <x:is>
          <x:t xml:space="preserve">POSITION PURPOSE: Assists the Project Manager by the preparation, organization, and follow up on project paperwork. The project coordinator assists in customer service and coordinates the project and paperwork by performing the following duties: ESSENTIAL FUNCTION ANS BASIC DUTIES: Creates job files with appropriate files as directed by the project manager. Job files shall include the following items which shall be secured by the coordinator for files: Insurance certificates, payment and performance bonds (if required), 20 day preliminary notices, tax certificates, project information sheet, work order, schedule of values, contract, purchase orders, change orders, project correspondence, Daily logs Sets up project information in Company software Maintains job files on company software Enters original estimate from work order in Company software Prepares submittals and re-submittals, Tracks submittal progress with follow up as necessary Enter purchase orders and subcontracts, sends to vendors or subcontractors, and follows up as necessary Coordinates equipment deliveries with jobsite foremen Prepares operation and maintenance manuals Verifies length of warranties and prepares warranty letters AIA Billings Time &amp; Material Billings Copies and files correspondence. Prepares and secures transmittal for all items sent from office. Attends headstart meetings, turnover meetings, project management meetings, and production meetings as required. Provides minutes from meetings and distributes to attendees. Prepares "time and material" billings as required. Compiles and produces job cost reports.</x:t>
        </x:is>
      </x:c>
      <x:c r="F32" t="inlineStr">
        <x:is>
          <x:t xml:space="preserve">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Associate's degree (A. A.) or equivalent from two-year college or technical school; three years related experience and/or training; or equivalent combination of education and experience. LANGUAGE SKILLS: Ability to read and interpret documents such as safety rules, operating and maintenance instructions, and procedure manuals. Ability to write routine reports and correspondence. Ability to speak effectively before groups of customers or employees of organization. MATHEMATICAL SKILLS: Ability to calculate figures and amounts such as discounts, interest, commissions, proportions, percentages, area, circumference, and volume. Ability to apply concepts of basic algebra and geometry. REASONING ABILITY: Ability to solve practical problems and deal with a variety of concrete variables in situations where only limited standardization exists. Ability to interpret a variety of instructions furnished in written, oral, diagram, or schedule form.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The employee frequently is required to stand and walk. The employee must occasionally lift and/or move up to 10 pounds. Specific vision abilities required by this job include close vision,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Benefits: • Competitive wages • Medical, Dental &amp; Vision benefits • 401K retirement program with Immediate employer contribution • Paid vacation • Paid holidays M/F/V/H EOE Pre-Employment drug screen and back ground check required "We are proud to be voted by our employees for the past 4 years as one of the “Best Places to Work" in the Valley of large-sized companies list by the Phoenix Business Journal and BestCompaniesAZ. This ranking was determined by results from employee surveys from over 50% of our employees. Visit www.bestcompaniesaz.com for more details"</x:t>
        </x:is>
      </x:c>
      <x:c r="G32" t="inlineStr">
        <x:is>
          <x:t xml:space="preserve">CHANDLER</x:t>
        </x:is>
      </x:c>
      <x:c r="H32" t="inlineStr">
        <x:is>
          <x:t xml:space="preserve">AZ</x:t>
        </x:is>
      </x:c>
      <x:c r="I32" t="n">
        <x:v>0</x:v>
      </x:c>
      <x:c r="J32" t="str">
        <x:v>المرشح مستهدف العمل كـ pilot، بينما الوظيفة المعروضة هي PROJECT COORDINATOR. الاختلاف كبير في طبيعة المهام والمسار المهني.</x:v>
      </x:c>
      <x:c r="K32" t="n">
        <x:v>0</x:v>
      </x:c>
      <x:c r="L32" t="str">
        <x:v>ملاحظة المراجع الثاني: بعد التدقيق، لا توجد خبرة عمل معتمدة تتناسب مع متطلبات وظيفة PROJECT COORDINATOR.</x:v>
      </x:c>
      <x:c r="M32" t="n">
        <x:v>0</x:v>
      </x:c>
      <x:c r="N32" t="n">
        <x:v>0</x:v>
      </x:c>
    </x:row>
    <x:row r="33">
      <x:c r="A33" t="inlineStr">
        <x:is>
          <x:t xml:space="preserve">RR-032</x:t>
        </x:is>
      </x:c>
      <x:c r="B33" t="inlineStr">
        <x:is>
          <x:t xml:space="preserve">CV-29</x:t>
        </x:is>
      </x:c>
      <x:c r="C33" t="inlineStr">
        <x:is>
          <x:t xml:space="preserve">degree: bachelors. experience level: senior-level. target role: dentist. skills: anatomy, orthodontics, oral health, patient care, oral hygiene.</x:t>
        </x:is>
      </x:c>
      <x:c r="D33" t="inlineStr">
        <x:is>
          <x:t xml:space="preserve">Order Processing Specialist</x:t>
        </x:is>
      </x:c>
      <x:c r="E33" t="inlineStr">
        <x:is>
          <x:t xml:space="preserve">NORD Gear Corporation is a world leader in the manufacture of industrial power transmission and motion control products. Our continued growth and expansion has created a need for a highly motivated Order Processing Specialist to join our team. We are currently seeking to fill an Order Processing position within our Customer Service Department in CHARLOTTE, North Carolina. Recent College graduates encouraged to apply . In this position, you will prepare, sort, verify, write and enter orders into our manufacturing system. You will also participate in process improvement in a team environment.</x:t>
        </x:is>
      </x:c>
      <x:c r="F33" t="inlineStr">
        <x:is>
          <x:t xml:space="preserve">Qualified applicants will have the ability to learn technical information associated with Industrial Power Transmission products and be very detailed-oriented. Requires a minimum of a 2 year college degree and preferably related experience. Must have strong communication and computer skills. We offer an exceptional compensation program, competitive benefits and the opportunity to develop a career with a truly outstanding, growing multinational organization. Applicants should send resume to: NORD Gear Corporation Human Resources 800 Nord Drive PO Box 367 Waunakee, WI 53597 To Apply at : www.nord.com , Select Career Opportunities, Select Job Search. NORD Gear Corporation is an Equal Opportunity Employer</x:t>
        </x:is>
      </x:c>
      <x:c r="G33" t="inlineStr">
        <x:is>
          <x:t xml:space="preserve">CHARLOTTE</x:t>
        </x:is>
      </x:c>
      <x:c r="H33" t="inlineStr">
        <x:is>
          <x:t xml:space="preserve">NC</x:t>
        </x:is>
      </x:c>
      <x:c r="I33" t="n">
        <x:v>0</x:v>
      </x:c>
      <x:c r="J33" t="str">
        <x:v>عدم مطابقة: خبرات المرشح موجهة نحو dentist، وهي بعيدة عن متطلبات دور Order Processing Specialist.</x:v>
      </x:c>
      <x:c r="K33" t="n">
        <x:v>0</x:v>
      </x:c>
      <x:c r="L33" t="str">
        <x:v>تقييم مستقل: المرشح مركز تماماً على مجال dentist وهو بعيد عن النطاق التشغيلي لدور Order Processing Specialist.</x:v>
      </x:c>
      <x:c r="M33" t="n">
        <x:v>0</x:v>
      </x:c>
      <x:c r="N33" t="n">
        <x:v>0</x:v>
      </x:c>
    </x:row>
    <x:row r="34">
      <x:c r="A34" t="inlineStr">
        <x:is>
          <x:t xml:space="preserve">RR-033</x:t>
        </x:is>
      </x:c>
      <x:c r="B34" t="inlineStr">
        <x:is>
          <x:t xml:space="preserve">CV-06</x:t>
        </x:is>
      </x:c>
      <x:c r="C34" t="inlineStr">
        <x:is>
          <x:t xml:space="preserve">degree: phd. experience level: mid-level. target role: architect. skills: 3d modeling, project management, sustainable design, construction management, urban planning.</x:t>
        </x:is>
      </x:c>
      <x:c r="D34" t="inlineStr">
        <x:is>
          <x:t xml:space="preserve">Admin Assistant/Data Entry Specialist</x:t>
        </x:is>
      </x:c>
      <x:c r="E34" t="inlineStr">
        <x:is>
          <x:t xml:space="preserve">OnTrac is currently seeking a full time Admin Assistant/Data Entry Specialist . The Admin Assistant/Data Entry Specialist is responsible for performing daily imaging audits, ensuring images and data meet quality standards This is a Full Time, non-exempt position with a starting pay of $12/hour and benefits upon completion of a 90-day eligibility period. The current shift hours for this position are 8:00 am to 5:00 pm, Monday through Friday. Primary responsibilities: -Enters alphabetic, numeric, or symbolic data from source documents into computer following format displayed on screen, and enters necessary codes. -Compare data entered with source documents, or reenters data in verification format on screen to detect errors. -Make necessary corrections to information entered. -Compile, sort, and verify accuracy of data to be entered. -Review error reports and enter corrections into computer. -File or route source documents after entry. -Respond to inquiries regarding entered data. You must be able to pass a post offer pre-employment drug test and a criminal background check. Please send a resume of qualifications and cover letter in word format. OnTrac offers a very competitive benefits package including: medical and dental plans, a matching 401(k) program, an ESOP, and more.</x:t>
        </x:is>
      </x:c>
      <x:c r="F34" t="inlineStr">
        <x:is>
          <x:t xml:space="preserve">- Minimum 8000 KPH (alpha numeric) - High School Diploma/GED certificate - 6 months experience working in a data entry production environment - Working knowledge of Microsoft Office products, MS Access in particular. - Must be able to communicate effectively to resolve quality issues. - Must be able to move between multiple program applications easily. - Ability to manage time effectively to meet deadlines. - Must have strong organizational skills and attention to detail.</x:t>
        </x:is>
      </x:c>
      <x:c r="G34" t="inlineStr">
        <x:is>
          <x:t xml:space="preserve">VANCOUVER</x:t>
        </x:is>
      </x:c>
      <x:c r="H34" t="inlineStr">
        <x:is>
          <x:t xml:space="preserve">WA</x:t>
        </x:is>
      </x:c>
      <x:c r="I34" t="n">
        <x:v>0</x:v>
      </x:c>
      <x:c r="J34" t="str">
        <x:v>المؤهلات في السيرة الذاتية تخص مجالات architect فقط، ولا توجد خبرة سابقة في مسؤوليات Admin Assistant/Data Entry Specialist.</x:v>
      </x:c>
      <x:c r="K34" t="n">
        <x:v>0</x:v>
      </x:c>
      <x:c r="L34" t="str">
        <x:v>استبعاد: الفجوة كبيرة في المهارات بين التخصص المستهدف (architect) والمسؤوليات المحددة لـ Admin Assistant/Data Entry Specialist.</x:v>
      </x:c>
      <x:c r="M34" t="n">
        <x:v>0</x:v>
      </x:c>
      <x:c r="N34" t="n">
        <x:v>0</x:v>
      </x:c>
    </x:row>
    <x:row r="35">
      <x:c r="A35" t="inlineStr">
        <x:is>
          <x:t xml:space="preserve">RR-034</x:t>
        </x:is>
      </x:c>
      <x:c r="B35" t="inlineStr">
        <x:is>
          <x:t xml:space="preserve">CV-18</x:t>
        </x:is>
      </x:c>
      <x:c r="C35" t="inlineStr">
        <x:is>
          <x:t xml:space="preserve">degree: phd. experience level: senior-level. target role: pharmacist. skills: pharmaceuticals, healthcare, medical terminology, patient consultation, medication dispensing.</x:t>
        </x:is>
      </x:c>
      <x:c r="D35" t="inlineStr">
        <x:is>
          <x:t xml:space="preserve">Sourcing / Purchasing Pharma R &amp; D</x:t>
        </x:is>
      </x:c>
      <x:c r="E35" t="inlineStr">
        <x:is>
          <x:t xml:space="preserve">Our client is a dynamic global company looking for Sourcing leadership and expertise in pharmaceutical Research and Development. Sourcing Lead will work closely with technical stakeholders to develop / implement Sourcing best practices (with a Total Cost of Ownership approach). Strong preference for experience with 7 step sourcing methodology and expertise in pharma technical operations. Client is an outstanding employer with excellent benefits, quality of life and career opportunities. [J P CANON ASSOCIATES IS A PROFESSIONAL RECRUITMENT FIRM SPECIALIZING IN SUPPLY CHAIN MANAGEMENT (PURCHASING/SOURCING, LOGISTICS, DEMAND PLANNING, DISTRIBUTION, RELATED SYSTEMS). PLEASE VISIT US ON THE WEB AT www.jpcanon.com or CONTACT US BY EMAIL AT purchasing@jpcanon.com IN REFERENCE TO OTHER OPENINGS]</x:t>
        </x:is>
      </x:c>
      <x:c r="F35" t="inlineStr">
        <x:is>
          <x:t xml:space="preserve">- Must have a 4 year degree (technical degree strongly preferred - Chemistry/Biology/ChemE, etc.) - MBA, C.P.M. CPSM preferred - Must have 10+ yrs. professional experience; 4+ strategic sourcing in pharma R&amp;D - Should have strong relationship development, client management, and communication skills. - Experience developing / implementing sophisticated sourcing methodology (AT Kearney, IBM/PWC, McKinsey, Mitchell Madison, Archstone, Huron, Silver Oak, etc.); Operational Excellence (Six Sigma, Lean, Lean Sigma, etc.); Total Cost of Ownership - Strong preference for Fortune 500 Pharmaceutical, Med Device, Consumer Healthcare research and development</x:t>
        </x:is>
      </x:c>
      <x:c r="G35" t="inlineStr">
        <x:is>
          <x:t xml:space="preserve">BOSTON</x:t>
        </x:is>
      </x:c>
      <x:c r="H35" t="inlineStr">
        <x:is>
          <x:t xml:space="preserve">MA</x:t>
        </x:is>
      </x:c>
      <x:c r="I35" t="n">
        <x:v>1</x:v>
      </x:c>
      <x:c r="J35" t="str">
        <x:v>الخلفية المهنية قريبة نسبياً وتدعم بعض جوانب العمل في Sourcing / Purchasing Pharma R &amp; D، إلا أن بعض المتطلبات تحتاج تدريب إضافي.</x:v>
      </x:c>
      <x:c r="K35" t="n">
        <x:v>2</x:v>
      </x:c>
      <x:c r="L35" t="str">
        <x:v>توصية بالمقابلة: المهارات والمؤهلات تتوافق تماماً مع الوصف الوظيفي لـ Sourcing / Purchasing Pharma R &amp; D.</x:v>
      </x:c>
      <x:c r="M35" t="n">
        <x:v>1</x:v>
      </x:c>
      <x:c r="N35" t="n">
        <x:v>1</x:v>
      </x:c>
    </x:row>
    <x:row r="36">
      <x:c r="A36" t="inlineStr">
        <x:is>
          <x:t xml:space="preserve">RR-035</x:t>
        </x:is>
      </x:c>
      <x:c r="B36" t="inlineStr">
        <x:is>
          <x:t xml:space="preserve">CV-07</x:t>
        </x:is>
      </x:c>
      <x:c r="C36" t="inlineStr">
        <x:is>
          <x:t xml:space="preserve">degree: bachelors. experience level: senior-level. target role: operations manager. skills: project management, leadership, supply chain management, customer service, risk management.</x:t>
        </x:is>
      </x:c>
      <x:c r="D36" t="inlineStr">
        <x:is>
          <x:t xml:space="preserve">Logistics Manager</x:t>
        </x:is>
      </x:c>
      <x:c r="E36" t="inlineStr">
        <x:is>
          <x:t xml:space="preserve">Logistics Manager Job located in Roswell, GA The ANDRITZ GROUP The ANDRITZ GROUP is a globally leading supplier of plants and services for the hydropower, pulp and paper, metals, and other specialized industries (solid/liquid separation, feed, and biofuel). Globally the Group is headquartered in Graz, Austria, and has a staff of approximately 16,700 employees worldwide. ANDRITZ operates over 120 production sites, service and sales companies all around the world. North American operations are headquartered in Roswell, GA. Job Location: Roswell, GA USA Department: Global Procurement (GP) Job Offer: As the Logistics Manager in the Strategic Purchasing Group, the position will be responsible for the optimization of the total cost of ownership for Logistics and dealing with freight arrangements and import compliance on a daily basis. Responsibilities: Some responsibilities to include: Total cost of ownership for transportation Conduct market study, selection and evaluation of suppliers Preparation and leading negations with freight suppliers Optimization of supply chain processes and supplier relations Organize and monitor international freight moves Assign and control Tariff Classifications and codes and ensure correct usage Assist Project and Sales Managers in the Logistics Planning Responsible for Import Compliance and documentation Member of a global Category Management Team working to analyze the global supply base, cost drivers, etc. Develop and implement project, division, and/or category specific strategies Support Operational Procurement’s tasks to execute, expedite, and handle logistics for purchase orders</x:t>
        </x:is>
      </x:c>
      <x:c r="F36" t="inlineStr">
        <x:is>
          <x:t xml:space="preserve">Logistics Manager Qualification: BS degree in supply chain management, mechanical engineering, industrial engineering or equivalent combination of education and experience. Basic knowledge of contract law, experience with break bulk and container shipments, sourcing on international markets and proven negotiation skills are important for this position. SAP knowledge a plus. Ability to travel domestically and internationally will be required.</x:t>
        </x:is>
      </x:c>
      <x:c r="G36" t="inlineStr">
        <x:is>
          <x:t xml:space="preserve">ATLANTA</x:t>
        </x:is>
      </x:c>
      <x:c r="H36" t="inlineStr">
        <x:is>
          <x:t xml:space="preserve">GA</x:t>
        </x:is>
      </x:c>
      <x:c r="I36" t="n">
        <x:v>1</x:v>
      </x:c>
      <x:c r="J36" t="str">
        <x:v>قبول مبدئي: المرشح يمتلك أساسيات قوية، لكن طبيعة دور Logistics Manager تختلف عن اهتمامه الرئيسي كـ operations manager.</x:v>
      </x:c>
      <x:c r="K36" t="n">
        <x:v>1</x:v>
      </x:c>
      <x:c r="L36" t="str">
        <x:v>وجهة نظر ثانية: الملف يظهر بعض التقارب، لكني أرى ضرورة التأكد من المهارات التخصصية في المقابلة.</x:v>
      </x:c>
      <x:c r="M36" t="n">
        <x:v>1</x:v>
      </x:c>
      <x:c r="N36" t="n">
        <x:v>1</x:v>
      </x:c>
    </x:row>
    <x:row r="37">
      <x:c r="A37" t="inlineStr">
        <x:is>
          <x:t xml:space="preserve">RR-036</x:t>
        </x:is>
      </x:c>
      <x:c r="B37" t="inlineStr">
        <x:is>
          <x:t xml:space="preserve">CV-11</x:t>
        </x:is>
      </x:c>
      <x:c r="C37" t="inlineStr">
        <x:is>
          <x:t xml:space="preserve">degree: masters. experience level: senior-level. target role: machine learning engineer. skills: python, data science, data analysis, statistics, deep learning.</x:t>
        </x:is>
      </x:c>
      <x:c r="D37" t="inlineStr">
        <x:is>
          <x:t xml:space="preserve">Computer Tech</x:t>
        </x:is>
      </x:c>
      <x:c r="E37" t="inlineStr">
        <x:is>
          <x:t xml:space="preserve">Insight Global is looking for a tech with a minimum of 2 years of experience configuring windows OS 7 and XP. You two years of experience with Systems Preparation (Sysprep) tool, specifically working on Windows 7. Sysprep is used to configure new installations of Windows. You will have to install SW on machines, update the machines, and image the system, by following the correct Sysprep procedures for Windows.</x:t>
        </x:is>
      </x:c>
      <x:c r="F37" t="inlineStr">
        <x:is>
          <x:t xml:space="preserve">2 years of experience with System Preparation tool 2 years of experience with Windows 7 and/or XP Windows embedded experience</x:t>
        </x:is>
      </x:c>
      <x:c r="G37" t="inlineStr">
        <x:is>
          <x:t xml:space="preserve">LAKE FOREST</x:t>
        </x:is>
      </x:c>
      <x:c r="H37" t="inlineStr">
        <x:is>
          <x:t xml:space="preserve">CA</x:t>
        </x:is>
      </x:c>
      <x:c r="I37" t="n">
        <x:v>0</x:v>
      </x:c>
      <x:c r="J37" t="str">
        <x:v>المرشح مستهدف العمل كـ machine learning engineer، بينما الوظيفة المعروضة هي Computer Tech. الاختلاف كبير في طبيعة المهام والمسار المهني.</x:v>
      </x:c>
      <x:c r="K37" t="n">
        <x:v>0</x:v>
      </x:c>
      <x:c r="L37" t="str">
        <x:v>استبعاد: الفجوة كبيرة في المهارات بين التخصص المستهدف (machine learning engineer) والمسؤوليات المحددة لـ Computer Tech.</x:v>
      </x:c>
      <x:c r="M37" t="n">
        <x:v>0</x:v>
      </x:c>
      <x:c r="N37" t="n">
        <x:v>0</x:v>
      </x:c>
    </x:row>
    <x:row r="38">
      <x:c r="A38" t="inlineStr">
        <x:is>
          <x:t xml:space="preserve">RR-037</x:t>
        </x:is>
      </x:c>
      <x:c r="B38" t="inlineStr">
        <x:is>
          <x:t xml:space="preserve">CV-27</x:t>
        </x:is>
      </x:c>
      <x:c r="C38" t="inlineStr">
        <x:is>
          <x:t xml:space="preserve">degree: phd. experience level: senior-level. target role: cloud architect. skills: azure, scalability, solution architecture, aws, cloud computing.</x:t>
        </x:is>
      </x:c>
      <x:c r="D38" t="inlineStr">
        <x:is>
          <x:t xml:space="preserve">Client Services Support Analyst</x:t>
        </x:is>
      </x:c>
      <x:c r="E38" t="inlineStr">
        <x:is>
          <x:t xml:space="preserve">Position Summary : Provide support to clients for all existing and future Payment product offerings provided by Fundtech Corporation Primary Responsibilities : Provide professional application and technical support/consultation to clients of Fundtech Payment products who will be banks or major corporations Provide 1st and 2nd level support and execute escalation procedures when applicable as defined by Payments Customer Support management. Provide phone support for connectivity to various interfaces/applications such as the Federal Reserve Bank, Depository Financial Institutions, and other third party vendors Continued learning, as necessary, of International and Domestic Payments Products and the software applications Fundtech sells to support the products Interact with customer and internal technical personnel to explain problems and solutions involving the supported software Continually monitor and update all assigned inquiries with accuracy and relevant information which are accessible internally and by Fundtech’s clients. Create and maintain documentation pertaining to daily operations of the Payments Customer Support Group. Continually monitor the E-mail inbox. Assign and create support incidence records and tasks based upon received e-mail information. Maintain Test Environment for all Payment Products for support of the Payments Group Perform all other duties as assigned</x:t>
        </x:is>
      </x:c>
      <x:c r="F38" t="inlineStr">
        <x:is>
          <x:t xml:space="preserve">Qualifications/Experience: Bachelor’s degree (concentration in business or technology preferred) Experience with support of technical services and must have the ability to quickly learn the technical aspects needed to support the products Prior experience in supporting customers of banking or financial software applications preferred Must have good verbal/phone presence - experience in call center or customer support is a plus Able to multi-task and manage changing priorities to meet demands of clients who will represent banks for corporations Demonstrate ability to contribute to an atmosphere of teamwork through collaborative behavior and open communications Experience with interfacing via phone or in emails at all levels from senior management to junior staff when responding to customers Excellent analytical, communication (Verbal and written) skills; process-oriented Enjoys problem solving</x:t>
        </x:is>
      </x:c>
      <x:c r="G38" t="inlineStr">
        <x:is>
          <x:t xml:space="preserve">NORCROSS</x:t>
        </x:is>
      </x:c>
      <x:c r="H38" t="inlineStr">
        <x:is>
          <x:t xml:space="preserve">GA</x:t>
        </x:is>
      </x:c>
      <x:c r="I38" t="n">
        <x:v>0</x:v>
      </x:c>
      <x:c r="J38" t="str">
        <x:v>عدم مطابقة: خبرات المرشح موجهة نحو cloud architect، وهي بعيدة عن متطلبات دور Client Services Support Analyst.</x:v>
      </x:c>
      <x:c r="K38" t="n">
        <x:v>0</x:v>
      </x:c>
      <x:c r="L38" t="str">
        <x:v>ملاحظة المراجع الثاني: بعد التدقيق، لا توجد خبرة عمل معتمدة تتناسب مع متطلبات وظيفة Client Services Support Analyst.</x:v>
      </x:c>
      <x:c r="M38" t="n">
        <x:v>0</x:v>
      </x:c>
      <x:c r="N38" t="n">
        <x:v>0</x:v>
      </x:c>
    </x:row>
    <x:row r="39">
      <x:c r="A39" t="inlineStr">
        <x:is>
          <x:t xml:space="preserve">RR-038</x:t>
        </x:is>
      </x:c>
      <x:c r="B39" t="inlineStr">
        <x:is>
          <x:t xml:space="preserve">CV-04</x:t>
        </x:is>
      </x:c>
      <x:c r="C39" t="inlineStr">
        <x:is>
          <x:t xml:space="preserve">degree: masters. experience level: senior-level. target role: supply chain manager. skills: budgeting, supply chain optimization, risk management, logistics, project management.</x:t>
        </x:is>
      </x:c>
      <x:c r="D39" t="inlineStr">
        <x:is>
          <x:t xml:space="preserve">Project Manager</x:t>
        </x:is>
      </x:c>
      <x:c r="E39" t="inlineStr">
        <x:is>
          <x:t xml:space="preserve">This is a direct hire opportunity with our client Key Skills: - MUST have warehouse management / supply chain system implementation knowledge/experience . - Experience carrying full IT project implementation responsibilities covering requirements definition through application development/testing/UAT, infrastructure implementation (this portion the candidates would certainly cover) and EDI integration. - Experience with having had full budget responsibilities on projects and experience interfacing with senior level management in an organization. Core Responsibilities:  Manage multiple global IT customer projects simultaneously in the automotive &amp; technology verticals  Provide detailed project planning &amp; workstream allocations for all involved parties.  Determine the scope for each IT project and proactively manage the adherence to scope  Determine resource requirements for all projects with the appropriate IT workstream owners  Determine the Issues / Risks for all projects.  Co-ordination of activities with each workstream lead  Communicate effectively with all major stakeholders involved in the projects.  Provide status level reporting for all active projects.  Task tracking, Issue tracking, Risk tracking, Budget tracking.  Liaise with internal customers and external customers to provide project status reporting and visibility.  Manage escalations within the IT Function to ensure timely responses to issue / risks. Additional responsibilities  Facilitate the definition of requirements, acceptance and implementation of IT business solutions to ensure the realization of customer expectations.  Liaison/point of contact between operations management and IT (software development, QA, DBA’s &amp; infrastructure teams.)  Management, diagnosis and prioritisation of issue logging in conjunction with Business Project Manager.  Pro-actively manage risks / issues in advance of occurrence.  Manage change control on all active projects.  Support continuous process improvement throughout the project delivery lifecycle.  Facilitate project “Post Mortem’s" , publish findings and implement learning on future projects.</x:t>
        </x:is>
      </x:c>
      <x:c r="F39" t="inlineStr">
        <x:is>
          <x:t xml:space="preserve">Required Skills Minimum 3 years experience in managing significant IT projects including site launches Experience of core WMS capabilities and requirements Logistics supply chain design and development knowledge and associated tools and techniques Excellent interpersonal &amp; communication skills (Business &amp; Technical) Leadership / Influencing Skills Experience in representing I.T in Customer / Internal facing meetings Candidates need to be self motivated, ambitious, confident and willing to take full responsibility and ownership for delivery. Candidates most have a broad understanding of IT and Operations in the Logistics industry, Core IT experience and understanding of application development lifecycles is a MUST. People skills is critical, ability to communicate and influence effectively across all levels of the Organisation and with Customer peer group. Preferred Skills Minimum 5 yrs in a logistics environment with operational, project management or solution design track record Software Development Lead or WMS Solution/Delivery Lead Professional Project Management Qualification e.g Prince2 / PMI Systems integration knowledge/overview (FTP / EDI / XML ) Systems Infrastructure knowledge/overview ( LAN / WAN / Connectivity ) Travel 20%-60% Fast Switch, Ltd. is a 15-year-old IT Consulting company with offices in Detroit, MI and Columbus, OH and doing business in almost half the states in the union. We're a financially strong, privately-held company that is 100% consultant and client focused. You are our most important asset! We've differentiated ourselves by being creative, flexible, and fast. Throw out everything you've heard, seen, or felt about every other IT Consulting company. We're different. Our consultants and clients tell us so, and it's our great people who make the difference! We do unique things, and we do them for Fortune 10 companies, Inc. 500 companies, and technology start-ups. We also have a strong belief in giving back to the communities we serve. Our benefits are second to none and thanks to our flexible benefits options you can choose just the benefits that you need or want, options include: • Medical and Dental (Fast Switch pays 85% of premium) • Vision • Personal Time Off (PTO) Program • Long Term Disability (100% paid) • Life Insurance (100% paid) • 401(k) with immediate vesting and 3% (of salary) dollar-for-dollar match Plus, we have a lucrative employee referral program and an employee recognition culture. We have won the Columbus Business First “Fast 50" award 4 times in the last 5 years because of our strong growth which translates into more and better opportunities for our consulting staff members. To view all of our open positions, please go to: www.fastswitch.com and navigate to our Career page, or get there directly at: http://tinyurl.com/cmjkmb You can also follow us on Twitter at: www.twitter.com/fastswitch And you can become a fan of Fast Switch on Facebook at: http://tinyurl.com/y9y3gdp</x:t>
        </x:is>
      </x:c>
      <x:c r="G39" t="inlineStr">
        <x:is>
          <x:t xml:space="preserve">ADDISON</x:t>
        </x:is>
      </x:c>
      <x:c r="H39" t="inlineStr">
        <x:is>
          <x:t xml:space="preserve">IL</x:t>
        </x:is>
      </x:c>
      <x:c r="I39" t="n">
        <x:v>1</x:v>
      </x:c>
      <x:c r="J39" t="str">
        <x:v>الخلفية المهنية قريبة نسبياً وتدعم بعض جوانب العمل في Project Manager، إلا أن بعض المتطلبات تحتاج تدريب إضافي.</x:v>
      </x:c>
      <x:c r="K39" t="n">
        <x:v>1</x:v>
      </x:c>
      <x:c r="L39" t="str">
        <x:v>وجهة نظر ثانية: الملف يظهر بعض التقارب، لكني أرى ضرورة التأكد من المهارات التخصصية في المقابلة.</x:v>
      </x:c>
      <x:c r="M39" t="n">
        <x:v>1</x:v>
      </x:c>
      <x:c r="N39" t="n">
        <x:v>1</x:v>
      </x:c>
    </x:row>
    <x:row r="40">
      <x:c r="A40" t="inlineStr">
        <x:is>
          <x:t xml:space="preserve">RR-039</x:t>
        </x:is>
      </x:c>
      <x:c r="B40" t="inlineStr">
        <x:is>
          <x:t xml:space="preserve">CV-20</x:t>
        </x:is>
      </x:c>
      <x:c r="C40" t="inlineStr">
        <x:is>
          <x:t xml:space="preserve">degree: phd. experience level: mid-level. target role: ai researcher. skills: innovation, programming, research methodology, machine learning, deep learning.</x:t>
        </x:is>
      </x:c>
      <x:c r="D40" t="inlineStr">
        <x:is>
          <x:t xml:space="preserve">Medical Front Office Receptionist</x:t>
        </x:is>
      </x:c>
      <x:c r="E40" t="inlineStr">
        <x:is>
          <x:t xml:space="preserve">Front Office Recep tionist East Valley Fax 480-732-0038 for busy medical practice. Medical experience required. Xlnt benefits. Salary $12-$13/hr DOE. Fax resume Source - Arizona Republic - Phoenix, AZ</x:t>
        </x:is>
      </x:c>
      <x:c r="F40" t="inlineStr">
        <x:is>
          <x:t xml:space="preserve">Please refer to the Job Description to view the requirements for this job</x:t>
        </x:is>
      </x:c>
      <x:c r="G40" t="inlineStr">
        <x:is>
          <x:t xml:space="preserve">PHOENIX</x:t>
        </x:is>
      </x:c>
      <x:c r="H40" t="inlineStr">
        <x:is>
          <x:t xml:space="preserve">AZ</x:t>
        </x:is>
      </x:c>
      <x:c r="I40" t="n">
        <x:v>0</x:v>
      </x:c>
      <x:c r="J40" t="str">
        <x:v>المرشح غير مناسب لشاغر Medical Front Office Receptionist؛ توجهه المهني والمهارات المذكورة تنحصر في تخصص ai researcher.</x:v>
      </x:c>
      <x:c r="K40" t="n">
        <x:v>0</x:v>
      </x:c>
      <x:c r="L40" t="str">
        <x:v>استبعاد: الفجوة كبيرة في المهارات بين التخصص المستهدف (ai researcher) والمسؤوليات المحددة لـ Medical Front Office Receptionist.</x:v>
      </x:c>
      <x:c r="M40" t="n">
        <x:v>0</x:v>
      </x:c>
      <x:c r="N40" t="n">
        <x:v>0</x:v>
      </x:c>
    </x:row>
    <x:row r="41">
      <x:c r="A41" t="inlineStr">
        <x:is>
          <x:t xml:space="preserve">RR-040</x:t>
        </x:is>
      </x:c>
      <x:c r="B41" t="inlineStr">
        <x:is>
          <x:t xml:space="preserve">CV-22</x:t>
        </x:is>
      </x:c>
      <x:c r="C41" t="inlineStr">
        <x:is>
          <x:t xml:space="preserve">degree: bachelors. experience level: senior-level. target role: psychologist. skills: clinical skills, therapy, cognitive behavioral therapy, psychopathology, mental health.</x:t>
        </x:is>
      </x:c>
      <x:c r="D41" t="inlineStr">
        <x:is>
          <x:t xml:space="preserve">Chemical Dependency Unit Manager</x:t>
        </x:is>
      </x:c>
      <x:c r="E41" t="inlineStr">
        <x:is>
          <x:t xml:space="preserve">The Manager of the Chemical Dependency Unit for Millwood Hospital, is responsible for effectively managing and directing the activities of patient care in accordance with established standards of care, mental health practice and facility policies and procedures. Ensures that a system is developed to provide continum of care and communication with patients/families.</x:t>
        </x:is>
      </x:c>
      <x:c r="F41" t="inlineStr">
        <x:is>
          <x:t xml:space="preserve">Master's Level Degree in Social Work, Nursing or a clinical related field is required. Combination of education and experience with related required licensure may be considered. Three years experience in psychiatric care and current licensure to practice in state of Texas. LMSW, LCSW, RN or LPC is required.</x:t>
        </x:is>
      </x:c>
      <x:c r="G41" t="inlineStr">
        <x:is>
          <x:t xml:space="preserve">ARLINGTON</x:t>
        </x:is>
      </x:c>
      <x:c r="H41" t="inlineStr">
        <x:is>
          <x:t xml:space="preserve">TX</x:t>
        </x:is>
      </x:c>
      <x:c r="I41" t="n">
        <x:v>1</x:v>
      </x:c>
      <x:c r="J41" t="str">
        <x:v>تقارب جزئي في المهارات العملية، ولكن يحتاج لمراجعة تفصيلية في المقابلة للتأكد من مدى ملاءمته لمهام Chemical Dependency Unit Manager.</x:v>
      </x:c>
      <x:c r="K41" t="n">
        <x:v>1</x:v>
      </x:c>
      <x:c r="L41" t="str">
        <x:v>تقييم مستقل: توجد مهارات عامة يمكن الاستفادة منها، ولكن التأهيل غير مكتمل لوظيفة Chemical Dependency Unit Manager.</x:v>
      </x:c>
      <x:c r="M41" t="n">
        <x:v>1</x:v>
      </x:c>
      <x:c r="N41" t="n">
        <x:v>1</x:v>
      </x:c>
    </x:row>
    <x:row r="42">
      <x:c r="A42" t="inlineStr">
        <x:is>
          <x:t xml:space="preserve">RR-041</x:t>
        </x:is>
      </x:c>
      <x:c r="B42" t="inlineStr">
        <x:is>
          <x:t xml:space="preserve">CV-24</x:t>
        </x:is>
      </x:c>
      <x:c r="C42" t="inlineStr">
        <x:is>
          <x:t xml:space="preserve">degree: phd. experience level: senior-level. target role: accountant. skills: financial analysis, accounting software, auditing, budgeting, spreadsheet skills.</x:t>
        </x:is>
      </x:c>
      <x:c r="D42" t="inlineStr">
        <x:is>
          <x:t xml:space="preserve">Accountant (2012097)</x:t>
        </x:is>
      </x:c>
      <x:c r="E42" t="inlineStr">
        <x:is>
          <x:t xml:space="preserve">NORC conducts high quality social science research in the public interest from its headquarters at the University of Chicago and offices in Chicago, Washington DC, Bethesda, MD, and Berkeley, CA. NORC offers a broad range of research and technology services to its clients, which include government agencies, educational institutions, foundations, other nonprofit organizations, and private corporations. NORC’s capabilities include complex data collection strategies, survey and study design, sophisticated empirical analyses, technical assistance, and technologies that complement our research. Our portfolio includes projects at the local, regional, national and international levels. An interdisciplinary approach to projects provides clients with expertise that crosses departmental and substantive area lines. A given study may draw on the skills our nationwide field staff, our world class telephone survey operation, technologists, faculty research associates, economists, sociologists, and statisticians. NORC is an equal opportunity employer committed to facilitating the personal and professional development of everyone on its staff. NORC at the University of Chicago is currently seeking an accountant to work with other members of the Accounting Team, to reconcile and analyze general ledger accounts monthly and to prepare journal entries for various general ledger accounts. Responsibilities • Perform general account reconciliations and analysis. • Perform general ledger journal entries • Perform bank reconciliations • Work with auditors during annual audit • Work on special requests/projects as necessary • Act as backup for monthly invoice distribution • Monitor unclaimed property &amp; prepare unclaimed property reports to state agencies Requirements • Bachelor’s Degree in Accounting, plus minimum two (2) years of general accounting work experience. CPA a plus. • Experience using an automated accounting system as well as proficiency in Excel, Outlook and Word is required. • Strong attention to detail • Strong problem solving skills and judgment • Strong written and verbal communication skills • Strong skills in organization and time management and ability to prioritize and meet deadlines • Strong work ethic • Understanding of general accounting principles and processes; • Strong computer skills; ability to automate work processes; ability to create spreadsheets • Ability to work accurately under deadline pressure • Ability to work accurately and timely with high volumes of data • Ability to work under moderate supervision using established guidelines and procedures • Computer Experience with one or more of the following: Deltek (Costpoint, Impromptu); Access (JP Morgan Chase software); Quickbooks. About NORC NORC at the University of Chicago is an independent research organization headquartered in downtown Chicago with additional offices on The University of Chicago's campus and in Washington, D.C. and Bethesda, Maryland. NORC also supports a nationwide field staff as well as international research operations. With clients throughout the world, NORC collaborates with government agencies, foundations, educational institutions, nonprofit organizations and businesses to provide the data and analysis that supports informed decision making in key areas including health, education, economics, crime, justice, energy, security, and the environment. NORC’s 70 years of leadership and experience in data collection, analysis, and dissemination—coupled with deep subject matter expertise—provides the foundation for effective solutions. NORC is an affirmative action, equal opportunity employer that values and actively seeks diversity in the workfo NORC at the University of Chicago is currently seeking an accountant to work with other members of the Accounting Team, to reconcile and analyze general ledger accounts monthly and to prepare journal entries for various general ledger accounts. Responsibilities Perform general account reconciliations and analysis Perform general ledger journal entries Perform bank reconciliations Work with auditors during annual audit Work on special requests/projects as necessary Act as backup for monthly invoice distribution Monitor unclaimed property &amp; prepare unclaimed property reports to state agencies</x:t>
        </x:is>
      </x:c>
      <x:c r="F42" t="inlineStr">
        <x:is>
          <x:t xml:space="preserve">Bachelor’s Degree in Accounting, plus minimum two (2) years of general accounting work experience. CPA a plus. Experience using an automated accounting system as well as proficiency in Excel, Outlook and Word is required. Strong attention to detail Strong problem solving skills and judgment Strong written and verbal communication skills Strong skills in organization and time management and ability to prioritize and meet deadlines Strong work ethic Understanding of general accounting principles and processes Strong computer skills; ability to automate work processes; ability to create spreadsheets Ability to work accurately under deadline pressure Ability to work accurately and timely with high volumes of data Ability to work under moderate supervision using established guidelines and procedures Computer Experience with one or more of the following: Deltek (Costpoint, Impromptu); Access (JP Morgan Chase software). About NORC NORC at the University of Chicago is an independent research organization headquartered in downtown Chicago with additional offices on The University of Chicago's campus and in Washington, D.C. and Bethesda, Maryland. NORC also supports a nationwide field staff as well as international research operations. With clients throughout the world, NORC collaborates with government agencies, foundations, educational institutions, nonprofit organizations and businesses to provide the data and analysis that supports informed decision making in key areas including health, education, economics, crime, justice, energy, security, and the environment. NORC’s 70 years of leadership and experience in data collection, analysis, and dissemination—coupled with deep subject matter expertise—provides the foundation for effective solutions. NORC is an affirmative action, equal opportunity employer that values and actively seeks diversity in the workforce.</x:t>
        </x:is>
      </x:c>
      <x:c r="G42" t="inlineStr">
        <x:is>
          <x:t xml:space="preserve">CHICAGO</x:t>
        </x:is>
      </x:c>
      <x:c r="H42" t="inlineStr">
        <x:is>
          <x:t xml:space="preserve">IL</x:t>
        </x:is>
      </x:c>
      <x:c r="I42" t="n">
        <x:v>2</x:v>
      </x:c>
      <x:c r="J42" t="str">
        <x:v>السيرة الذاتية ممتازة ومطابقة بشكل مباشر لمهام ومتطلبات وظيفة Accountant (2012097). يوصى بالترشيح للمقابلة.</x:v>
      </x:c>
      <x:c r="K42" t="n">
        <x:v>2</x:v>
      </x:c>
      <x:c r="L42" t="str">
        <x:v>تقييم ممتاز: السيرة الذاتية تفي بجميع الشروط وتظهر خبرة متقدمة في مجال Accountant (2012097).</x:v>
      </x:c>
      <x:c r="M42" t="n">
        <x:v>2</x:v>
      </x:c>
      <x:c r="N42" t="n">
        <x:v>2</x:v>
      </x:c>
    </x:row>
    <x:row r="43">
      <x:c r="A43" t="inlineStr">
        <x:is>
          <x:t xml:space="preserve">RR-042</x:t>
        </x:is>
      </x:c>
      <x:c r="B43" t="inlineStr">
        <x:is>
          <x:t xml:space="preserve">CV-05</x:t>
        </x:is>
      </x:c>
      <x:c r="C43" t="inlineStr">
        <x:is>
          <x:t xml:space="preserve">degree: masters. experience level: senior-level. target role: database administrator. skills: optimization, cloud databases, sql, database management, performance tuning.</x:t>
        </x:is>
      </x:c>
      <x:c r="D43" t="inlineStr">
        <x:is>
          <x:t xml:space="preserve">Admin/Receptionist with Accounts Payable Skills!</x:t>
        </x:is>
      </x:c>
      <x:c r="E43" t="inlineStr">
        <x:is>
          <x:t xml:space="preserve">Consumer products company has an exciting opportunity for a versatile Administrative Assistant who can provide office management and day to day support for the marketing team. Responsiblities include phones, dining and travel arrangements, handling office supplies, maintaining stock room and kitchen area, office equipment maintenance, expenses, calendar maintenance, track vacation, handling internal events, an act as the liaison between accounts payable and vendors.</x:t>
        </x:is>
      </x:c>
      <x:c r="F43" t="inlineStr">
        <x:is>
          <x:t xml:space="preserve">Must have minimum 2-4 years administrative or office managment experience Must have experience with Accounts Payable Excellent communications skills Must be detail oriented and handle multiple tasks simultanously Strong computer skills College grad preferred</x:t>
        </x:is>
      </x:c>
      <x:c r="G43" t="inlineStr">
        <x:is>
          <x:t xml:space="preserve">NEW YORK</x:t>
        </x:is>
      </x:c>
      <x:c r="H43" t="inlineStr">
        <x:is>
          <x:t xml:space="preserve">NY</x:t>
        </x:is>
      </x:c>
      <x:c r="I43" t="n">
        <x:v>0</x:v>
      </x:c>
      <x:c r="J43" t="str">
        <x:v>عدم مطابقة: خبرات المرشح موجهة نحو database administrator، وهي بعيدة عن متطلبات دور Admin/Receptionist with Accounts Payable Skills!.</x:v>
      </x:c>
      <x:c r="K43" t="n">
        <x:v>0</x:v>
      </x:c>
      <x:c r="L43" t="str">
        <x:v>استبعاد: الفجوة كبيرة في المهارات بين التخصص المستهدف (database administrator) والمسؤوليات المحددة لـ Admin/Receptionist with Accounts Payable Skills!.</x:v>
      </x:c>
      <x:c r="M43" t="n">
        <x:v>0</x:v>
      </x:c>
      <x:c r="N43" t="n">
        <x:v>0</x:v>
      </x:c>
    </x:row>
    <x:row r="44">
      <x:c r="A44" t="inlineStr">
        <x:is>
          <x:t xml:space="preserve">RR-043</x:t>
        </x:is>
      </x:c>
      <x:c r="B44" t="inlineStr">
        <x:is>
          <x:t xml:space="preserve">CV-02</x:t>
        </x:is>
      </x:c>
      <x:c r="C44" t="inlineStr">
        <x:is>
          <x:t xml:space="preserve">degree: bachelors. experience level: mid-level. target role: physician. skills: healthcare, pharmacology, medical terminology, patient care, surgical skills.</x:t>
        </x:is>
      </x:c>
      <x:c r="D44" t="inlineStr">
        <x:is>
          <x:t xml:space="preserve">CUSTOMER SERVICE</x:t>
        </x:is>
      </x:c>
      <x:c r="E44" t="inlineStr">
        <x:is>
          <x:t xml:space="preserve">We are a large outlet for a world wide appliance manufacturing company in DFW and we have immediate openings in our Customer Relations Department . The position is full time with a salary of $2,800 per month to start and has a competitive benefits package. This position requires an immediate start date. Our Company offers *Full Company Training *Great Base Salary *Benefits *Paid vacation *Advancement *Profit Sharing Requirements Must have 1 year of customer service experience and be able to start right immediately. The right candidate must also be able to pass a criminal background check with no felony convictions. For more info and to apply on-line, go to : http://www.cleanairtechjobs.com entry level, experience, career, career opportunity, advancement, retail manager, marketing, advertising, advertising representative, advertising rep., customer service, customer relations, customer service representative, customer service rep., customer sales, customer sales representative, customer sales rep., full time, full time work, full time job, full time jobs, full time positions, part time, part time work, part time job, part time jobs, part time positions, sales, salesman, sales person, sales representative, sales rep., selling, inside sales, outside sales, personal sales, account executive, account exec., account representative, account rep., temporary, temporary work, temporary job, university, university students, student, college, college students, summer, summer job, summer jobs, summer help, summer, Dallas, Denton, lewisville, Gainesville, Frisco, Plano, Mc Kinney, Lake Dallas, Highland Village, Flower mound, Carrolton, Richardson, Irving, Prosper, Aubrey, krugerville, garland, Grand prairie, Mesquite, Wiley, Collin County, Celina, Little Elm, Arlington, Murphey, Coppell, Tarrant County,Lavon, Requirements Must have 1 year prior customer service history to start.</x:t>
        </x:is>
      </x:c>
      <x:c r="F44" t="inlineStr">
        <x:is>
          <x:t xml:space="preserve">Must be able to start immediately and have no felony background.</x:t>
        </x:is>
      </x:c>
      <x:c r="G44" t="inlineStr">
        <x:is>
          <x:t xml:space="preserve">LEWISVILLE</x:t>
        </x:is>
      </x:c>
      <x:c r="H44" t="inlineStr">
        <x:is>
          <x:t xml:space="preserve">TX</x:t>
        </x:is>
      </x:c>
      <x:c r="I44" t="n">
        <x:v>0</x:v>
      </x:c>
      <x:c r="J44" t="str">
        <x:v>المؤهلات في السيرة الذاتية تخص مجالات physician فقط، ولا توجد خبرة سابقة في مسؤوليات CUSTOMER SERVICE.</x:v>
      </x:c>
      <x:c r="K44" t="n">
        <x:v>1</x:v>
      </x:c>
      <x:c r="L44" t="str">
        <x:v>تقييم مستقل: توجد مهارات عامة يمكن الاستفادة منها، ولكن التأهيل غير مكتمل لوظيفة CUSTOMER SERVICE.</x:v>
      </x:c>
      <x:c r="M44" t="n">
        <x:v>0</x:v>
      </x:c>
      <x:c r="N44" t="n">
        <x:v>0</x:v>
      </x:c>
    </x:row>
    <x:row r="45">
      <x:c r="A45" t="inlineStr">
        <x:is>
          <x:t xml:space="preserve">RR-044</x:t>
        </x:is>
      </x:c>
      <x:c r="B45" t="inlineStr">
        <x:is>
          <x:t xml:space="preserve">CV-06</x:t>
        </x:is>
      </x:c>
      <x:c r="C45" t="inlineStr">
        <x:is>
          <x:t xml:space="preserve">degree: phd. experience level: mid-level. target role: architect. skills: 3d modeling, project management, sustainable design, construction management, urban planning.</x:t>
        </x:is>
      </x:c>
      <x:c r="D45" t="inlineStr">
        <x:is>
          <x:t xml:space="preserve">Office Coordinator - Excellent Pay &amp; Great Benefits!</x:t>
        </x:is>
      </x:c>
      <x:c r="E45" t="inlineStr">
        <x:is>
          <x:t xml:space="preserve">We have a great office environment and we're looking for a great first impression front office coordinator. Someone that has an upbeat personality, lots of energy and great customer service skills. Your responsibilities will include answering phones, screen and direct calls. Take and relay messages. Greet people and direct them to correct destinations. Ensure knowledge of staff movements in and out of the office. General administrative and clerical support. Prepare and distribute correspondence. Receive and sort mail and deliveries. Schedule appointments. Organize meetings, tidy and maintain front office area. We are an equal employment opportunity employer.</x:t>
        </x:is>
      </x:c>
      <x:c r="F45" t="inlineStr">
        <x:is>
          <x:t xml:space="preserve">Bachelor Degree Preferred MS Office</x:t>
        </x:is>
      </x:c>
      <x:c r="G45" t="inlineStr">
        <x:is>
          <x:t xml:space="preserve">KIRKLAND</x:t>
        </x:is>
      </x:c>
      <x:c r="H45" t="inlineStr">
        <x:is>
          <x:t xml:space="preserve">WA</x:t>
        </x:is>
      </x:c>
      <x:c r="I45" t="n">
        <x:v>0</x:v>
      </x:c>
      <x:c r="J45" t="str">
        <x:v>المرشح غير مناسب لشاغر Office Coordinator - Excellent Pay &amp; Great Benefits!؛ توجهه المهني والمهارات المذكورة تنحصر في تخصص architect.</x:v>
      </x:c>
      <x:c r="K45" t="n">
        <x:v>0</x:v>
      </x:c>
      <x:c r="L45" t="str">
        <x:v>تقييم مستقل: المرشح مركز تماماً على مجال architect وهو بعيد عن النطاق التشغيلي لدور Office Coordinator - Excellent Pay &amp; Great Benefits!.</x:v>
      </x:c>
      <x:c r="M45" t="n">
        <x:v>0</x:v>
      </x:c>
      <x:c r="N45" t="n">
        <x:v>0</x:v>
      </x:c>
    </x:row>
    <x:row r="46">
      <x:c r="A46" t="inlineStr">
        <x:is>
          <x:t xml:space="preserve">RR-045</x:t>
        </x:is>
      </x:c>
      <x:c r="B46" t="inlineStr">
        <x:is>
          <x:t xml:space="preserve">CV-08</x:t>
        </x:is>
      </x:c>
      <x:c r="C46" t="inlineStr">
        <x:is>
          <x:t xml:space="preserve">degree: phd. experience level: mid-level. target role: cybersecurity analyst. skills: penetration testing, incident response, security protocols, network security, ethical hacking.</x:t>
        </x:is>
      </x:c>
      <x:c r="D46" t="inlineStr">
        <x:is>
          <x:t xml:space="preserve">Recruiting Coordinator</x:t>
        </x:is>
      </x:c>
      <x:c r="E46" t="inlineStr">
        <x:is>
          <x:t xml:space="preserve">The Mergis Group has teamed with our client a premier diversified global insurer is in need of a recruiting coordinator. This position is a contract opoprtunity. The ideal candidate will be an experienced Recruiter or Staffing Coordinator with 3 years of either corporate/ Agency experience. RESPONSIBILITIES : ***The main responsiblilitiy of this position will be to Source resumes*** This person may also: Assist Recruiters in creation of reports Post ads for open job requisites Resume data entry Coordinate, schedule and confirm meetings with candidates, recruiters and hiring managers Create interview itineraries Book travel arrangements Participate in formal staff review processes</x:t>
        </x:is>
      </x:c>
      <x:c r="F46" t="inlineStr">
        <x:is>
          <x:t xml:space="preserve">REQUIRED SKILLS : Sense of Urgency Excellent interpersonal, verbal, and written communication skills Client focused approach to work and commercially aware Proven ability to multitask Ability to work independently as well as in a team Experience with Microsoft based applications and general knowledge of PC functions QUALIFICATIONS : BACHELOR'S degree preferred At least 3 years of Staffing or Recruiting expereince. Experience interacting with high level managers and executives HOW TO APPLY : For immediate consideration please email your resume in a WORD format to SARA MOUSSEAU at Saramousseau@mergisgroup.com</x:t>
        </x:is>
      </x:c>
      <x:c r="G46" t="inlineStr">
        <x:is>
          <x:t xml:space="preserve">BOSTON</x:t>
        </x:is>
      </x:c>
      <x:c r="H46" t="inlineStr">
        <x:is>
          <x:t xml:space="preserve">MA</x:t>
        </x:is>
      </x:c>
      <x:c r="I46" t="n">
        <x:v>0</x:v>
      </x:c>
      <x:c r="J46" t="str">
        <x:v>لا يوجد أي تقاطع مهني بين دور Recruiting Coordinator المطلوبة والاهتمام المهني للمرشح كـ cybersecurity analyst.</x:v>
      </x:c>
      <x:c r="K46" t="n">
        <x:v>0</x:v>
      </x:c>
      <x:c r="L46" t="str">
        <x:v>استبعاد: الفجوة كبيرة في المهارات بين التخصص المستهدف (cybersecurity analyst) والمسؤوليات المحددة لـ Recruiting Coordinator.</x:v>
      </x:c>
      <x:c r="M46" t="n">
        <x:v>0</x:v>
      </x:c>
      <x:c r="N46" t="n">
        <x:v>0</x:v>
      </x:c>
    </x:row>
    <x:row r="47">
      <x:c r="A47" t="inlineStr">
        <x:is>
          <x:t xml:space="preserve">RR-046</x:t>
        </x:is>
      </x:c>
      <x:c r="B47" t="inlineStr">
        <x:is>
          <x:t xml:space="preserve">CV-09</x:t>
        </x:is>
      </x:c>
      <x:c r="C47" t="inlineStr">
        <x:is>
          <x:t xml:space="preserve">degree: masters. experience level: senior-level. target role: software engineer. skills: software development, java, python, c++, agile.</x:t>
        </x:is>
      </x:c>
      <x:c r="D47" t="inlineStr">
        <x:is>
          <x:t xml:space="preserve">Management Trainees</x:t>
        </x:is>
      </x:c>
      <x:c r="E47" t="inlineStr">
        <x:is>
          <x:t xml:space="preserve">IT’S BO TIME MANAGEMENT PROGRAM TRI-ARC FOOD SYSTEMS, INC. dba BOJANGLES NOW HIRING MANAGER TRAINEES FOR ALL TRIANGLE AND SURROUNDING LOCATIONS We invite you to join our team. Come grow as we grow! Benefits: Medical and Disability Insurance, 401K Program, Paid Vacation, FMLA, Paid Training Phone: 919-859-1131 or FAX: 919-859-9361 EMAIL: jobs@bojanglesrdu.com</x:t>
        </x:is>
      </x:c>
      <x:c r="F47" t="inlineStr">
        <x:is>
          <x:t xml:space="preserve">See job description for requirements.</x:t>
        </x:is>
      </x:c>
      <x:c r="G47" t="inlineStr">
        <x:is>
          <x:t xml:space="preserve">RALEIGH</x:t>
        </x:is>
      </x:c>
      <x:c r="H47" t="inlineStr">
        <x:is>
          <x:t xml:space="preserve">NC</x:t>
        </x:is>
      </x:c>
      <x:c r="I47" t="n">
        <x:v>0</x:v>
      </x:c>
      <x:c r="J47" t="str">
        <x:v>المرشح مستهدف العمل كـ software engineer، بينما الوظيفة المعروضة هي Management Trainees. الاختلاف كبير في طبيعة المهام والمسار المهني.</x:v>
      </x:c>
      <x:c r="K47" t="n">
        <x:v>0</x:v>
      </x:c>
      <x:c r="L47" t="str">
        <x:v>ملاحظة المراجع الثاني: بعد التدقيق، لا توجد خبرة عمل معتمدة تتناسب مع متطلبات وظيفة Management Trainees.</x:v>
      </x:c>
      <x:c r="M47" t="n">
        <x:v>0</x:v>
      </x:c>
      <x:c r="N47" t="n">
        <x:v>0</x:v>
      </x:c>
    </x:row>
    <x:row r="48">
      <x:c r="A48" t="inlineStr">
        <x:is>
          <x:t xml:space="preserve">RR-047</x:t>
        </x:is>
      </x:c>
      <x:c r="B48" t="inlineStr">
        <x:is>
          <x:t xml:space="preserve">CV-15</x:t>
        </x:is>
      </x:c>
      <x:c r="C48" t="inlineStr">
        <x:is>
          <x:t xml:space="preserve">degree: masters. experience level: mid-level. target role: systems analyst. skills: data analysis, systems integration, project management, sql, business process modeling.</x:t>
        </x:is>
      </x:c>
      <x:c r="D48" t="inlineStr">
        <x:is>
          <x:t xml:space="preserve">Financial Analyst - Modeling</x:t>
        </x:is>
      </x:c>
      <x:c r="E48" t="inlineStr">
        <x:is>
          <x:t xml:space="preserve">Rapidly growing Consumer Products Company is looking to add a Financial Analyst to support the CFO. The Financial Analyst will provide budgeting and forecasting support at both the corporate and subsidiary level and will provide variance analysis during the monthly closing process and will then act on these results. He/she will also create financial models, cash flow models and work on all potential acquisitions. The Financial Analyst will also assist in the preparation of presentations for senior management and will work on other ad hoc projects. Ideal candidate will have a BS in Accounting or Finance and 3-6 years of practical experience in a Consumer Products Company. Strong Modeling and Excel skills are a must. This company offers a fantastic benefits package.</x:t>
        </x:is>
      </x:c>
      <x:c r="F48" t="inlineStr">
        <x:is>
          <x:t xml:space="preserve"/>
        </x:is>
      </x:c>
      <x:c r="G48" t="inlineStr">
        <x:is>
          <x:t xml:space="preserve">NEW YORK</x:t>
        </x:is>
      </x:c>
      <x:c r="H48" t="inlineStr">
        <x:is>
          <x:t xml:space="preserve">NY</x:t>
        </x:is>
      </x:c>
      <x:c r="I48" t="n">
        <x:v>0</x:v>
      </x:c>
      <x:c r="J48" t="str">
        <x:v>عدم مطابقة: خبرات المرشح موجهة نحو systems analyst، وهي بعيدة عن متطلبات دور Financial Analyst - Modeling.</x:v>
      </x:c>
      <x:c r="K48" t="n">
        <x:v>0</x:v>
      </x:c>
      <x:c r="L48" t="str">
        <x:v>تقييم مستقل: المرشح مركز تماماً على مجال systems analyst وهو بعيد عن النطاق التشغيلي لدور Financial Analyst - Modeling.</x:v>
      </x:c>
      <x:c r="M48" t="n">
        <x:v>0</x:v>
      </x:c>
      <x:c r="N48" t="n">
        <x:v>0</x:v>
      </x:c>
    </x:row>
    <x:row r="49">
      <x:c r="A49" t="inlineStr">
        <x:is>
          <x:t xml:space="preserve">RR-048</x:t>
        </x:is>
      </x:c>
      <x:c r="B49" t="inlineStr">
        <x:is>
          <x:t xml:space="preserve">CV-15</x:t>
        </x:is>
      </x:c>
      <x:c r="C49" t="inlineStr">
        <x:is>
          <x:t xml:space="preserve">degree: masters. experience level: mid-level. target role: systems analyst. skills: data analysis, systems integration, project management, sql, business process modeling.</x:t>
        </x:is>
      </x:c>
      <x:c r="D49" t="inlineStr">
        <x:is>
          <x:t xml:space="preserve">Business Analyst</x:t>
        </x:is>
      </x:c>
      <x:c r="E49" t="inlineStr">
        <x:is>
          <x:t xml:space="preserve">Mid-sized Westchester Healthcare company looking for a Reporting oriented Business Analyst to help with our growing company. Key Responsibilities: Assist with data warehousing projects Assist with system support issues work with other Business Analysts to ensure coordination of data between systems (EHR/Radiology/Laboratory) Project management Determine and document user requirements/systems specifications Coordinate and execute test plans Vendor Management Executive level reporting projects Assist other analysts with projects as needed Please send email resume with salary requirements to hrresumes@mkmg.com EOE</x:t>
        </x:is>
      </x:c>
      <x:c r="F49" t="inlineStr">
        <x:is>
          <x:t xml:space="preserve">Experience: SQL Server 2008 R2 Data Analysis and Management Skills including SSIS, SSRS Understanding of project life cycle and software development environments MS Office Suite One or more Scripting Languages Customer focused approach Complex problem solving Some programming experience Team player Detail oriented Ability to work ina fast paced environment Comfortable with prioritizing/multitasking &amp; juggling projects Preferably some experience with Healthcare Industry/Applications All employment is contingent upon successful completion of drug and background screening.</x:t>
        </x:is>
      </x:c>
      <x:c r="G49" t="inlineStr">
        <x:is>
          <x:t xml:space="preserve">MOUNT KISCO</x:t>
        </x:is>
      </x:c>
      <x:c r="H49" t="inlineStr">
        <x:is>
          <x:t xml:space="preserve">NY</x:t>
        </x:is>
      </x:c>
      <x:c r="I49" t="n">
        <x:v>2</x:v>
      </x:c>
      <x:c r="J49" t="str">
        <x:v>مرشح قوي وجاهز للقيام بمهام Business Analyst بناءً على الخلفية المهنية المعروضة.</x:v>
      </x:c>
      <x:c r="K49" t="n">
        <x:v>2</x:v>
      </x:c>
      <x:c r="L49" t="str">
        <x:v>مرشح قوي: المطابقة عالية ومباشرة لجميع المسؤوليات اليومية المطلوبة.</x:v>
      </x:c>
      <x:c r="M49" t="n">
        <x:v>2</x:v>
      </x:c>
      <x:c r="N49" t="n">
        <x:v>2</x:v>
      </x:c>
    </x:row>
    <x:row r="50">
      <x:c r="A50" t="inlineStr">
        <x:is>
          <x:t xml:space="preserve">RR-049</x:t>
        </x:is>
      </x:c>
      <x:c r="B50" t="inlineStr">
        <x:is>
          <x:t xml:space="preserve">CV-11</x:t>
        </x:is>
      </x:c>
      <x:c r="C50" t="inlineStr">
        <x:is>
          <x:t xml:space="preserve">degree: masters. experience level: senior-level. target role: machine learning engineer. skills: python, data science, data analysis, statistics, deep learning.</x:t>
        </x:is>
      </x:c>
      <x:c r="D50" t="inlineStr">
        <x:is>
          <x:t xml:space="preserve">HUMAN RESOURCES GENERALIST</x:t>
        </x:is>
      </x:c>
      <x:c r="E50" t="inlineStr">
        <x:is>
          <x:t xml:space="preserve">Mission Community Hospital , a 145 bed acute care facility located in Panorama City is currently seeking a Human Resources Generalist. T he Human Resources Generalist is responsible for various Human Resources programs including, but not limited to, the administration of all Group Benefit programs, compliance with Rule 2202, Leaves of Absence, Worker’s Compensation, including claims management and risk management, COBRA administration, I-9 compliance and Unemployment Claims tracking. Provides employee relations and performance management leadership while working closely with managers and employees to resolve work related issues, and employee concerns resulting in making sound recommendations in accordance with company policies, state, and federal laws. Major Responsibilities Employee Relations 60% • Build, and maintain relationships with employees, and management. • Handle resignation and termination procedures. • Provides support for employee relations matters, and uses judgment to give direction to employees or involve higher level managemen t. • Initiate and conduct timely investigations, prepare documentation and make recommendations for corrective/disciplinary actions. Coordination of Employee Activities/HR Administration 15% • Actively participates in the organization and presentation of new hire orientation. • Reviews, updates, and provides feedback on performance evaluations. • In services Departments on HR policies as needed. • Administer compliance with Rule 2202 of the SAQMD for each location. • Track all filings for Unemployment Insurance and arrange to dispute the claims if appropriate. • Periodically audit the I-9 files (especially documents identified as “time sensitive”) for compliance. • Periodically or as needed updates policies and procedures. • Maintain a positive customer service environment through prompt courteous, thorough and accurate response to identified concerns. • Promote effective team work and a positive work environment through cooperation, consistency and a willingness to assume added responsibilities as needed. • Coordinates special events as needed. • Generate turnover reports and analysis. • Oversee creation and distribution of license/certification and evaluation reports. Employee Benefits- 10% • Responsible for administration of all aspects of the Group Benefit programs. This includes coordinating procedures to enroll newly eligible employees, verifying monthly premium statements for all group insurances, COBRA notifications and tracking and facilitation of the annual open enrollment process including a Benefits Fair. • Works with our benefits broker and/or the providers to address employees’ questions and issues concerning such things as coverage, deductibles, eligibility etc. • As required explains benefits policy and systems to staff all levels in the organization. • Interfaces with Payroll to ensure correct benefit accruals and payroll deduction formulas. Leaves of Absence- 10 % • Recommends policy and documents practices covering the administration of Group Benefits, Leaves of Absence and Workers’ Compensation. • Processes documents necessary for the implementation of the various programs administered and distributes and maintain such documents as required. • Conduct salary surveys as requested by the Director of Human Resources. • Manages the Leave of Absence program insuring that employee paperwork is submitted on a timely basis and is complete and accurate. Insures all relevant premiums continue to be paid and that the employee is placed on COBRA when the employee is no longer eligible for benefits. Workers’ Compensation/ OSHA- 5% • Administration of the Workers’ Compensation program will include the following: Insure that all necessary paperwork included in the “Report of Injury or Illness Procedures” packet is completed for each incident. Insure that proper and adequate medical care is provided the injured worker and that that worker’s rights are fully explained to him/her. • Insure that reports are properly filed with the insurance carrier and that the carrier is monitoring the medical care and progress of the injured worker. Further, monitor the care the worker is getting from all providers from the Urgent Care to Specialists. • Insure all appropriate OSHA reporting is done. • Follow-up with supervision and/or Support Services on all risk management or prevention issues that stem from investigation of the incident. • Maintain monthly summaries of the basic facts surrounding each incident including the OSHA log (if the incident is recordable). • Maintain, submit, and present reports to PI and Safety Committee. Other duties as assigned.</x:t>
        </x:is>
      </x:c>
      <x:c r="F50" t="inlineStr">
        <x:is>
          <x:t xml:space="preserve">Required • Bachelor’s degree in Human Resource or related field or equivalent certification/experience • Minimum three years’ experience in Human Resources as a Generalist with Benefits as a primary responsibility • Solid experience in employee relations • Excellent human relations and oral/written communication skills • Fire Card Learn more about Mission Community Hospital by visiting us online at www.mchonline.org where applications are available for downloading. Applications may be faxed to (818) 904-3610, emailed to employment@mchonline.org or mailed to Mission Community Hospital, 14850 Roscoe Blvd., Panorama City, CA 91402, Attention: Human Resources. We are an equal opportunity employer.</x:t>
        </x:is>
      </x:c>
      <x:c r="G50" t="inlineStr">
        <x:is>
          <x:t xml:space="preserve">PANORAMA CITY</x:t>
        </x:is>
      </x:c>
      <x:c r="H50" t="inlineStr">
        <x:is>
          <x:t xml:space="preserve">CA</x:t>
        </x:is>
      </x:c>
      <x:c r="I50" t="n">
        <x:v>0</x:v>
      </x:c>
      <x:c r="J50" t="str">
        <x:v>المرشح غير مناسب لشاغر HUMAN RESOURCES GENERALIST؛ توجهه المهني والمهارات المذكورة تنحصر في تخصص machine learning engineer.</x:v>
      </x:c>
      <x:c r="K50" t="n">
        <x:v>0</x:v>
      </x:c>
      <x:c r="L50" t="str">
        <x:v>ملاحظة المراجع الثاني: بعد التدقيق، لا توجد خبرة عمل معتمدة تتناسب مع متطلبات وظيفة HUMAN RESOURCES GENERALIST.</x:v>
      </x:c>
      <x:c r="M50" t="n">
        <x:v>0</x:v>
      </x:c>
      <x:c r="N50" t="n">
        <x:v>0</x:v>
      </x:c>
    </x:row>
    <x:row r="51">
      <x:c r="A51" t="inlineStr">
        <x:is>
          <x:t xml:space="preserve">RR-050</x:t>
        </x:is>
      </x:c>
      <x:c r="B51" t="inlineStr">
        <x:is>
          <x:t xml:space="preserve">CV-06</x:t>
        </x:is>
      </x:c>
      <x:c r="C51" t="inlineStr">
        <x:is>
          <x:t xml:space="preserve">degree: phd. experience level: mid-level. target role: architect. skills: 3d modeling, project management, sustainable design, construction management, urban planning.</x:t>
        </x:is>
      </x:c>
      <x:c r="D51" t="inlineStr">
        <x:is>
          <x:t xml:space="preserve">Property Manager</x:t>
        </x:is>
      </x:c>
      <x:c r="E51" t="inlineStr">
        <x:is>
          <x:t xml:space="preserve">About Us We are a property management/real estate investment corporation. We currently have a full time position available for the position of Property Manager. Sheng-Raamco Management, Inc. is an e xcellent owner-managed company seeking a highly motivated property manager. We are seeking a highly motivated property manager. You must be extremely motivated, be able to increase occupancy, promote resident retention, and increase overall property performance. You must be a self-starter, enthusiastic and experienced in the supervision of an apartment community. You must possess fantastic supervisory skills and a thorough knowledge of all phases of apartment management. Organizational skills a priority. You must be able to learn, implement and support company policies and procedures.</x:t>
        </x:is>
      </x:c>
      <x:c r="F51" t="inlineStr">
        <x:is>
          <x:t xml:space="preserve">Interested applicants must possess the following skills: Good communication, organizational, some knowledge of finance, positive attitude and a willingness to learn. You must be a self-starter, enthusiastic Experienced in the supervision of an apartment community. You must possess fantastic supervisory skills and a thorough knowledge of all phases of apartment management. Organizational skills a priority. You must be able to learn, implement and support company policies and procedures.</x:t>
        </x:is>
      </x:c>
      <x:c r="G51" t="inlineStr">
        <x:is>
          <x:t xml:space="preserve">KENT</x:t>
        </x:is>
      </x:c>
      <x:c r="H51" t="inlineStr">
        <x:is>
          <x:t xml:space="preserve">WA</x:t>
        </x:is>
      </x:c>
      <x:c r="I51" t="n">
        <x:v>0</x:v>
      </x:c>
      <x:c r="J51" t="str">
        <x:v>لا يوجد أي تقاطع مهني بين دور Property Manager المطلوبة والاهتمام المهني للمرشح كـ architect.</x:v>
      </x:c>
      <x:c r="K51" t="n">
        <x:v>1</x:v>
      </x:c>
      <x:c r="L51" t="str">
        <x:v>وجهة نظر ثانية: الملف يظهر بعض التقارب، لكني أرى ضرورة التأكد من المهارات التخصصية في المقابلة.</x:v>
      </x:c>
      <x:c r="M51" t="n">
        <x:v>0</x:v>
      </x:c>
      <x:c r="N51" t="n">
        <x:v>0</x:v>
      </x:c>
    </x:row>
    <x:row r="52">
      <x:c r="A52" t="inlineStr">
        <x:is>
          <x:t xml:space="preserve">RR-051</x:t>
        </x:is>
      </x:c>
      <x:c r="B52" t="inlineStr">
        <x:is>
          <x:t xml:space="preserve">CV-09</x:t>
        </x:is>
      </x:c>
      <x:c r="C52" t="inlineStr">
        <x:is>
          <x:t xml:space="preserve">degree: masters. experience level: senior-level. target role: software engineer. skills: software development, java, python, c++, agile.</x:t>
        </x:is>
      </x:c>
      <x:c r="D52" t="inlineStr">
        <x:is>
          <x:t xml:space="preserve">Order Processing Specialist</x:t>
        </x:is>
      </x:c>
      <x:c r="E52" t="inlineStr">
        <x:is>
          <x:t xml:space="preserve">NORD Gear Corporation is a world leader in the manufacture of industrial power transmission and motion control products. Our continued growth and expansion has created a need for a highly motivated Order Processing Specialist to join our team. We are currently seeking to fill an Order Processing position within our Customer Service Department in CHARLOTTE, North Carolina. Recent College graduates encouraged to apply . In this position, you will prepare, sort, verify, write and enter orders into our manufacturing system. You will also participate in process improvement in a team environment.</x:t>
        </x:is>
      </x:c>
      <x:c r="F52" t="inlineStr">
        <x:is>
          <x:t xml:space="preserve">Qualified applicants will have the ability to learn technical information associated with Industrial Power Transmission products and be very detailed-oriented. Requires a minimum of a 2 year college degree and preferably related experience. Must have strong communication and computer skills. We offer an exceptional compensation program, competitive benefits and the opportunity to develop a career with a truly outstanding, growing multinational organization. Applicants should send resume to: NORD Gear Corporation Human Resources 800 Nord Drive PO Box 367 Waunakee, WI 53597 To Apply at : www.nord.com , Select Career Opportunities, Select Job Search. NORD Gear Corporation is an Equal Opportunity Employer</x:t>
        </x:is>
      </x:c>
      <x:c r="G52" t="inlineStr">
        <x:is>
          <x:t xml:space="preserve">CHARLOTTE</x:t>
        </x:is>
      </x:c>
      <x:c r="H52" t="inlineStr">
        <x:is>
          <x:t xml:space="preserve">NC</x:t>
        </x:is>
      </x:c>
      <x:c r="I52" t="n">
        <x:v>0</x:v>
      </x:c>
      <x:c r="J52" t="str">
        <x:v>المرشح مستهدف العمل كـ software engineer، بينما الوظيفة المعروضة هي Order Processing Specialist. الاختلاف كبير في طبيعة المهام والمسار المهني.</x:v>
      </x:c>
      <x:c r="K52" t="n">
        <x:v>0</x:v>
      </x:c>
      <x:c r="L52" t="str">
        <x:v>استبعاد: الفجوة كبيرة في المهارات بين التخصص المستهدف (software engineer) والمسؤوليات المحددة لـ Order Processing Specialist.</x:v>
      </x:c>
      <x:c r="M52" t="n">
        <x:v>0</x:v>
      </x:c>
      <x:c r="N52" t="n">
        <x:v>0</x:v>
      </x:c>
    </x:row>
    <x:row r="53">
      <x:c r="A53" t="inlineStr">
        <x:is>
          <x:t xml:space="preserve">RR-052</x:t>
        </x:is>
      </x:c>
      <x:c r="B53" t="inlineStr">
        <x:is>
          <x:t xml:space="preserve">CV-16</x:t>
        </x:is>
      </x:c>
      <x:c r="C53" t="inlineStr">
        <x:is>
          <x:t xml:space="preserve">degree: masters. experience level: senior-level. target role: product manager. skills: leadership, product development, cross-functional collaboration, agile, team coordination.</x:t>
        </x:is>
      </x:c>
      <x:c r="D53" t="inlineStr">
        <x:is>
          <x:t xml:space="preserve">Customer Relationship Manager</x:t>
        </x:is>
      </x:c>
      <x:c r="E53" t="inlineStr">
        <x:is>
          <x:t xml:space="preserve">PURPOSE OF THE JOB: Responsible for managing field commercial operations activities at accounts in North America. Improve communications with our customer’s procurement, supply chain, logistics and operations teams in order to exceed customer expectations. Increase efficiencies across forecast accuracy, order management, logistics, promotions/graphics changes, and new product launch support. Align customer regional leadership teams with Rexam operations to respond quickly to customer needs and drive mutual value. Key Accountabilities: Develop relationships with customers supply chain groups. Provide improved service levels by increasing communication and reducing response time. Understand and meet customer’s supply chain expectations via collaboration with Rexam resources. Understand Rexam supply plans, package initiatives and approach to the market ensuring accurate and effective communication with customers. Lead forecasting efforts to deliver accurate information to improve Rexam efficiency and service customer needs. Identify and deliver opportunities for operational efficiency and cost reductions in the field. Responsible for managing customer relationships in a geographic zone, providing commercial support to Rexam Ops to filler relationships, via Partnership meetings. Provide field information to Key Account Managers and support their customer initiatives.</x:t>
        </x:is>
      </x:c>
      <x:c r="F53" t="inlineStr">
        <x:is>
          <x:t xml:space="preserve">KNOWLEDGE/SKILLS/EXPERIENCE: A 6-10 year history of successful account / customer management, with a passion for meeting customer expectations. Ability to develop strong customer relationships with mid to high level business partners. A background in the business to business sector, with experience in fast-moving consumer goods, or services. Experience in managing multiple and complex business relationships. Ability to influence and lead in a matrix management structure environment. Demonstrates high intellect, strong interpersonal skills, integrity and potential for increased responsibility. Expectation of frequent overnight travel within a geographic region. An independent, ambitious, and energetic individual who is looking to make a positive Rexam experience for customers. Strongly aligned with Rexam values of Trust, Recognition, Teamwork and Continuous Improvement.</x:t>
        </x:is>
      </x:c>
      <x:c r="G53" t="inlineStr">
        <x:is>
          <x:t xml:space="preserve">KENT</x:t>
        </x:is>
      </x:c>
      <x:c r="H53" t="inlineStr">
        <x:is>
          <x:t xml:space="preserve">WA</x:t>
        </x:is>
      </x:c>
      <x:c r="I53" t="n">
        <x:v>1</x:v>
      </x:c>
      <x:c r="J53" t="str">
        <x:v>تقارب جزئي في المهارات العملية، ولكن يحتاج لمراجعة تفصيلية في المقابلة للتأكد من مدى ملاءمته لمهام Customer Relationship Manager.</x:v>
      </x:c>
      <x:c r="K53" t="n">
        <x:v>2</x:v>
      </x:c>
      <x:c r="L53" t="str">
        <x:v>توصية بالمقابلة: المهارات والمؤهلات تتوافق تماماً مع الوصف الوظيفي لـ Customer Relationship Manager.</x:v>
      </x:c>
      <x:c r="M53" t="n">
        <x:v>1</x:v>
      </x:c>
      <x:c r="N53" t="n">
        <x:v>1</x:v>
      </x:c>
    </x:row>
    <x:row r="54">
      <x:c r="A54" t="inlineStr">
        <x:is>
          <x:t xml:space="preserve">RR-053</x:t>
        </x:is>
      </x:c>
      <x:c r="B54" t="inlineStr">
        <x:is>
          <x:t xml:space="preserve">CV-24</x:t>
        </x:is>
      </x:c>
      <x:c r="C54" t="inlineStr">
        <x:is>
          <x:t xml:space="preserve">degree: phd. experience level: senior-level. target role: accountant. skills: financial analysis, accounting software, auditing, budgeting, spreadsheet skills.</x:t>
        </x:is>
      </x:c>
      <x:c r="D54" t="inlineStr">
        <x:is>
          <x:t xml:space="preserve">Accounting Clerk</x:t>
        </x:is>
      </x:c>
      <x:c r="E54" t="inlineStr">
        <x:is>
          <x:t xml:space="preserve">EXPERIENCE UNIQUE REWARDS WITH A LEADING HEALTH CARE ORGANIZATION Lexington ( Home Health Services) is seeking a Full-time Accounting Clerk in Lombard, IL Responsibilities for this position may include: • Recording changes affecting net wages, for example exemptions, insurance coverage, and loan payments for each employee to update master payroll records. • Recording data concerning transfer of employees between departments. • Preparing periodic reports of earnings, taxes, and deductions. • Keeping records of leave pay and nontaxable wages. • Recording vendor invoices in general ledger software, matching invoices and mails out disbursement checks. • Researching all questions on vendor payments and outstanding items. • Compiling payroll data, and enters data or computes and posts wages, and reconciles errors, to maintain payroll records, using computer • Preparing computer input forms, enters data into computer files, or computes wages and deductions, using calculator, and posts to payroll records. • Reviewing wages computed and corrects errors to ensure accuracy of payroll. • Assisting and processing payroll. • Serving as back-up for payroll coordinator as needed We offer competitive salary, complete benefit package and an excellent working environment.</x:t>
        </x:is>
      </x:c>
      <x:c r="F54" t="inlineStr">
        <x:is>
          <x:t xml:space="preserve">Minimum Associate's degree in Accounting or business related curriculum is preferred. At least one year of experience in the general functions of payroll processing and accounts payable. Ability to maintain confidentiality in all aspects of the job and ability to manage multiple tasks with frequent interruptions. Proficient in Microsoft products including Word, Excel and Outlook. Prior experience with timekeeping software preferred. Prior experience with Great Plains software preferred</x:t>
        </x:is>
      </x:c>
      <x:c r="G54" t="inlineStr">
        <x:is>
          <x:t xml:space="preserve">LOMBARD</x:t>
        </x:is>
      </x:c>
      <x:c r="H54" t="inlineStr">
        <x:is>
          <x:t xml:space="preserve">IL</x:t>
        </x:is>
      </x:c>
      <x:c r="I54" t="n">
        <x:v>1</x:v>
      </x:c>
      <x:c r="J54" t="str">
        <x:v>توجد مهارات إدارية وتنظيمية مشتركة مع دور Accounting Clerk، لكن المرشح ينقصه التخصص المباشر والخبرة الفنية الدقيقة.</x:v>
      </x:c>
      <x:c r="K54" t="n">
        <x:v>1</x:v>
      </x:c>
      <x:c r="L54" t="str">
        <x:v>وجهة نظر ثانية: الملف يظهر بعض التقارب، لكني أرى ضرورة التأكد من المهارات التخصصية في المقابلة.</x:v>
      </x:c>
      <x:c r="M54" t="n">
        <x:v>1</x:v>
      </x:c>
      <x:c r="N54" t="n">
        <x:v>1</x:v>
      </x:c>
    </x:row>
    <x:row r="55">
      <x:c r="A55" t="inlineStr">
        <x:is>
          <x:t xml:space="preserve">RR-054</x:t>
        </x:is>
      </x:c>
      <x:c r="B55" t="inlineStr">
        <x:is>
          <x:t xml:space="preserve">CV-15</x:t>
        </x:is>
      </x:c>
      <x:c r="C55" t="inlineStr">
        <x:is>
          <x:t xml:space="preserve">degree: masters. experience level: mid-level. target role: systems analyst. skills: data analysis, systems integration, project management, sql, business process modeling.</x:t>
        </x:is>
      </x:c>
      <x:c r="D55" t="inlineStr">
        <x:is>
          <x:t xml:space="preserve">Business Analyst</x:t>
        </x:is>
      </x:c>
      <x:c r="E55" t="inlineStr">
        <x:is>
          <x:t xml:space="preserve">Position Category: Project Management Position Title: Business Analyst Job Level: Associate/Sr Associate Location: USA - NY - New York Education Required: Bachelors Degree Position Description: The successful candidate will play a key role in delivering a change program to the global Fixed Income Derivative Confirmation business. They will lead key FID Confirm initiatives that affect the trade capture, trade reconciliation, trade confirmation, etc. They will help with the prioritization of projects, manage requirements gathering, coordinate UAT, and ensure post implementation success. They will learn to understand the Fixed Income Confirmation business at MS as well as become knowledgeable of the specific systems and technical architecture. Skills Required: • Experience of project / change management within investment banking environment. • Confident and effective communication skills. • Strong problem solving and analysis skills. • Proactive, delivery orientated approach. • Ability to work well under pressure, multi-task, and meet deadlines. • Subject matter expertise in FID products. Skills Desired: • Accurate, thorough and with a strong attention to detail. • Manage time effectively, prioritize tasks, and escalate issues as necessary. • Ability to work with ambiguity and drive towards clarity. • Willingness to challenge the status quo. • Enthusiastic ‘can do’ approach to all responsibilities. • Ability to take direction as needed as well as being able to work independently.</x:t>
        </x:is>
      </x:c>
      <x:c r="F55" t="inlineStr">
        <x:is>
          <x:t xml:space="preserve">.</x:t>
        </x:is>
      </x:c>
      <x:c r="G55" t="inlineStr">
        <x:is>
          <x:t xml:space="preserve">NEW YORK</x:t>
        </x:is>
      </x:c>
      <x:c r="H55" t="inlineStr">
        <x:is>
          <x:t xml:space="preserve">NY</x:t>
        </x:is>
      </x:c>
      <x:c r="I55" t="n">
        <x:v>2</x:v>
      </x:c>
      <x:c r="J55" t="str">
        <x:v>تطابق ممتاز في المؤهلات والخبرات العملية مع الشاغر الوظيفي (Business Analyst).</x:v>
      </x:c>
      <x:c r="K55" t="n">
        <x:v>1</x:v>
      </x:c>
      <x:c r="L55" t="str">
        <x:v>قبول مشروط: الخلفية المهنية قريبة نسبياً لـ Business Analyst، لكن يحتاج لتدريب على المهام الأساسية.</x:v>
      </x:c>
      <x:c r="M55" t="n">
        <x:v>2</x:v>
      </x:c>
      <x:c r="N55" t="n">
        <x:v>2</x:v>
      </x:c>
    </x:row>
    <x:row r="56">
      <x:c r="A56" t="inlineStr">
        <x:is>
          <x:t xml:space="preserve">RR-055</x:t>
        </x:is>
      </x:c>
      <x:c r="B56" t="inlineStr">
        <x:is>
          <x:t xml:space="preserve">CV-01</x:t>
        </x:is>
      </x:c>
      <x:c r="C56" t="inlineStr">
        <x:is>
          <x:t xml:space="preserve">degree: bachelors. experience level: mid-level. target role: fitness coach. skills: injury prevention, motivation, nutrition, health coaching, strength training.</x:t>
        </x:is>
      </x:c>
      <x:c r="D56" t="inlineStr">
        <x:is>
          <x:t xml:space="preserve">College Recruiter</x:t>
        </x:is>
      </x:c>
      <x:c r="E56" t="inlineStr">
        <x:is>
          <x:t xml:space="preserve">Join a great organization! Join one of the world’s largest dynamic leaders in providing premier quality private, post-secondary education and currently operates 85+ colleges and universities located across the U.S., and Canada. Our client is seeking goal oriented individuals to join their team as an Admissions Recruiter. Everyday gives you new challenges in which you can help people achieve their dreams. This is a full time salaried position with benefits. This is a great inside sales opportunity. As an Admissions Recruiter you will respond to phone and web generated inquiries from prospective students and guide them through the admissions process. These full time positions are offered at a generous starting salary . Our client’s benefits package includes medical, dental, vision, life insurance, 401K, tuition assistance, and much more. If you have the following qualities, apply today!! Outgoing Goal driven Ambitious Growth oriented Ability to motivate others to action Goal oriented and highly ethical</x:t>
        </x:is>
      </x:c>
      <x:c r="F56" t="inlineStr">
        <x:is>
          <x:t xml:space="preserve">Qualified Candidates should have: Bachelor's degree Possess a sincere interest in helping others achieve life goals 1+ years in sales, customer service or recruiting Strong closing and follow up skills Excellent written and verbal communication skills. Strong interpersonal skills If you are looking for a position where you are interacting with people on a daily basis helping to make a positive change in people’s lives, this will be a great career for you! With campuses located across North America, this school has been providing education programs for over 30 years and is continuing to grow!</x:t>
        </x:is>
      </x:c>
      <x:c r="G56" t="inlineStr">
        <x:is>
          <x:t xml:space="preserve">SANTA MONICA</x:t>
        </x:is>
      </x:c>
      <x:c r="H56" t="inlineStr">
        <x:is>
          <x:t xml:space="preserve">CA</x:t>
        </x:is>
      </x:c>
      <x:c r="I56" t="n">
        <x:v>0</x:v>
      </x:c>
      <x:c r="J56" t="str">
        <x:v>لا يوجد أي تقاطع مهني بين دور College Recruiter المطلوبة والاهتمام المهني للمرشح كـ fitness coach.</x:v>
      </x:c>
      <x:c r="K56" t="n">
        <x:v>0</x:v>
      </x:c>
      <x:c r="L56" t="str">
        <x:v>ملاحظة المراجع الثاني: بعد التدقيق، لا توجد خبرة عمل معتمدة تتناسب مع متطلبات وظيفة College Recruiter.</x:v>
      </x:c>
      <x:c r="M56" t="n">
        <x:v>0</x:v>
      </x:c>
      <x:c r="N56" t="n">
        <x:v>0</x:v>
      </x:c>
    </x:row>
    <x:row r="57">
      <x:c r="A57" t="inlineStr">
        <x:is>
          <x:t xml:space="preserve">RR-056</x:t>
        </x:is>
      </x:c>
      <x:c r="B57" t="inlineStr">
        <x:is>
          <x:t xml:space="preserve">CV-18</x:t>
        </x:is>
      </x:c>
      <x:c r="C57" t="inlineStr">
        <x:is>
          <x:t xml:space="preserve">degree: phd. experience level: senior-level. target role: pharmacist. skills: pharmaceuticals, healthcare, medical terminology, patient consultation, medication dispensing.</x:t>
        </x:is>
      </x:c>
      <x:c r="D57" t="inlineStr">
        <x:is>
          <x:t xml:space="preserve">Intake Specialist</x:t>
        </x:is>
      </x:c>
      <x:c r="E57" t="inlineStr">
        <x:is>
          <x:t xml:space="preserve">* Looking for an opportunity to enter a career in healthcare? * Interested in Pharmacy with a new twist? * Seeking advancement opportunities? * Looking for a professional, team oriented workplace? * Work for a diversified, growing and stable National Company! Position Summary Admissions / Intake Specialist are tasked to enter accurate new patient admission information into computer system. Essential Duties and Responsibilities Collect and process patient and billing information as it arrives Verify accuracy of billing information received by coordinating with nursing home facility, doctors, and hospital before medications are sent if possible or within 24 hours if not possible Enter new patient admission information into computer system in a timely fashion Enter status changes, new facility set-ups and return addressed into computer system Verify and set up accounts regarding Medicaid and Medicaid-pending insurance and call all private pay Send out all HIPAA compliance forms, documents dare dent, receive completed forms and document receipt and files Other duties as assigned; Job duties may vary by location. Full job description available upon request. Omnicare Benefits Omnicare offers a competitive benefits package for full time employees which includes medical with prescription drug plan, dental, vision, life, vacation, sick, 401k, etc. Click on the Omnicare link to see a complete list. Omnicare is fully committed to employing a diverse workforce. We recruit and retain talented individuals without regard to gender, race, age, marital status, disability, and veteran status or any other status protected by federal, state or local law. Omnicare is an Equal Employment Opportunity and Affirmative Action Employer.</x:t>
        </x:is>
      </x:c>
      <x:c r="F57" t="inlineStr">
        <x:is>
          <x:t xml:space="preserve">Education and Qualifications 2nd Shift High school diploma or equivalent. Previous data entry or billing experience helpful. Experience in pharmacy procedures and terminology is helpful. Excellent communication, interpersonal and prioritization skills. Ability to work independently with minimal guidance. Ability to perform basic mathematical calculation. Ability to type with minimal errors. Must be able to read, write, speak, and understand the English language.</x:t>
        </x:is>
      </x:c>
      <x:c r="G57" t="inlineStr">
        <x:is>
          <x:t xml:space="preserve">WAKEFIELD</x:t>
        </x:is>
      </x:c>
      <x:c r="H57" t="inlineStr">
        <x:is>
          <x:t xml:space="preserve">MA</x:t>
        </x:is>
      </x:c>
      <x:c r="I57" t="n">
        <x:v>1</x:v>
      </x:c>
      <x:c r="J57" t="str">
        <x:v>تقارب جزئي في المهارات العملية، ولكن يحتاج لمراجعة تفصيلية في المقابلة للتأكد من مدى ملاءمته لمهام Intake Specialist.</x:v>
      </x:c>
      <x:c r="K57" t="n">
        <x:v>1</x:v>
      </x:c>
      <x:c r="L57" t="str">
        <x:v>وجهة نظر ثانية: الملف يظهر بعض التقارب، لكني أرى ضرورة التأكد من المهارات التخصصية في المقابلة.</x:v>
      </x:c>
      <x:c r="M57" t="n">
        <x:v>1</x:v>
      </x:c>
      <x:c r="N57" t="n">
        <x:v>1</x:v>
      </x:c>
    </x:row>
    <x:row r="58">
      <x:c r="A58" t="inlineStr">
        <x:is>
          <x:t xml:space="preserve">RR-057</x:t>
        </x:is>
      </x:c>
      <x:c r="B58" t="inlineStr">
        <x:is>
          <x:t xml:space="preserve">CV-07</x:t>
        </x:is>
      </x:c>
      <x:c r="C58" t="inlineStr">
        <x:is>
          <x:t xml:space="preserve">degree: bachelors. experience level: senior-level. target role: operations manager. skills: project management, leadership, supply chain management, customer service, risk management.</x:t>
        </x:is>
      </x:c>
      <x:c r="D58" t="inlineStr">
        <x:is>
          <x:t xml:space="preserve">Operations Manager and Supervisor</x:t>
        </x:is>
      </x:c>
      <x:c r="E58" t="inlineStr">
        <x:is>
          <x:t xml:space="preserve">Operations Manager : Manages a staff of supervisors to insure timely distribution of merchandise within the standards of budget, policies, procedures, and quality to satisfy the requirements of the Wholesale Divisions. Primary Responsibilities/Accountabilities of the Job: Coordinates traffic, operations, production planning and merchandise coordinators in the preparation of daily operations schedules for receiving, production and shipping to include the daily staffing assignment plan. Develops and implements methods for continuous improvement of quality, order turn- around, and productivity within established payroll and expense budgets. Ensures adherence to procedures that promote the health, safety and welfare of all associates in the facility’s operating departments. Trains and develops supervisors to provide management depth. Monitors purchasing, traffic and inventory control to keep expenditures within acceptable budget limits and provide for alternate plans in the event of unforeseen emergencies. Ensures efficient space utilization within the facility. Ensures housekeeping and equipment are maintained in like new fashion. Ensures first echelon maintenance program is adhered to. Operations Supervisor: Plans, organizes, coordinates and manages personnel and activities to ensure effective and efficient receiving, storage and shipping of product. Primary Responsibilities/Accountabilities of the Job: Plans and manages both manpower and the physical product to ensure continuous flow of goods and meets daily distribution requirements in an automated environment. Coordinates documentation to physical product to ensure timely, damage-free, accurate shipments and receipts. Assists IT with inventory control systems so as to maintain capability of real-time status reporting. Provides training, support, direction and guidance to subordinate personnel to assist in developing their job skills to include daily and annual (written) evaluation. Assures efficient and economical utilization of materials, improvement of methods, and elimination of wasteful practices within the department. Stimulate maximum efficiency and productivity of reporting associates. Maintain adherence to company policies, union contract, safety standards and good housekeeping practices.</x:t>
        </x:is>
      </x:c>
      <x:c r="F58" t="inlineStr">
        <x:is>
          <x:t xml:space="preserve">Must be able to pass a drug test and background check Operations Manager Minimum job content knowledge: Facility operation, planning and budgeting in a highly automated distribution environment. Knowledge of work methods, some indirect engineering, RF equipment and tilt-tray sortation. Minimum experience: Four (4) years’ management experience in a large distribution center. Automation background in footwear and apparel experience preferred. Operations Supervisor: 2+ years leadership experience in an automated environment including use of PkMS, Manhattan or other WMS systems. Experience in the apparel industry a plus. 4 year bachelor’s degree in a business, logistics or related field . Leadership, tenacity, team spirit, effective written and oral communication skills, effective computer skills (MS Office, Email, Kronos, Radio Frequency Equipment, etc.)</x:t>
        </x:is>
      </x:c>
      <x:c r="G58" t="inlineStr">
        <x:is>
          <x:t xml:space="preserve">MCDONOUGH</x:t>
        </x:is>
      </x:c>
      <x:c r="H58" t="inlineStr">
        <x:is>
          <x:t xml:space="preserve">GA</x:t>
        </x:is>
      </x:c>
      <x:c r="I58" t="n">
        <x:v>2</x:v>
      </x:c>
      <x:c r="J58" t="str">
        <x:v>السيرة الذاتية ممتازة ومطابقة بشكل مباشر لمهام ومتطلبات وظيفة Operations Manager and Supervisor. يوصى بالترشيح للمقابلة.</x:v>
      </x:c>
      <x:c r="K58" t="n">
        <x:v>2</x:v>
      </x:c>
      <x:c r="L58" t="str">
        <x:v>مرشح قوي: المطابقة عالية ومباشرة لجميع المسؤوليات اليومية المطلوبة.</x:v>
      </x:c>
      <x:c r="M58" t="n">
        <x:v>2</x:v>
      </x:c>
      <x:c r="N58" t="n">
        <x:v>2</x:v>
      </x:c>
    </x:row>
    <x:row r="59">
      <x:c r="A59" t="inlineStr">
        <x:is>
          <x:t xml:space="preserve">RR-058</x:t>
        </x:is>
      </x:c>
      <x:c r="B59" t="inlineStr">
        <x:is>
          <x:t xml:space="preserve">CV-11</x:t>
        </x:is>
      </x:c>
      <x:c r="C59" t="inlineStr">
        <x:is>
          <x:t xml:space="preserve">degree: masters. experience level: senior-level. target role: machine learning engineer. skills: python, data science, data analysis, statistics, deep learning.</x:t>
        </x:is>
      </x:c>
      <x:c r="D59" t="inlineStr">
        <x:is>
          <x:t xml:space="preserve">Plant Supervisor</x:t>
        </x:is>
      </x:c>
      <x:c r="E59" t="inlineStr">
        <x:is>
          <x:t xml:space="preserve">JOB SUMMARY The Plant Supervisor assists the OM with responsibilities regarding the production of all Commodities, Plant/Transportation employees, training, maintenance, shipping, receiving, and employee safety. ESSENTIAL DUTIES AND RESPONSIBILITIES Safety: Participates in regular safety meetings and ensures that EE’s are working in a safe manner Participates in annual compliance training in all required OSHA areas Participates in regular safety audits to identify unsafe areas or practices Ensures proper Workers compensation reporting Ensures DOT requirements are met Shipping and Receiving: Assists OM in ensuring Commodity Management and Inventory is conducted/recorded daily. Ensures that material is properly processed &amp; loaded for the market they are being delivered to. Ensures paperwork is complete for all outbound/inbound shipments, Weight Tickets and Manifests. Insures all materials, both bought and sold, meet the required specifications of all parties involved. Plant Equipment and Machinery Maintenance: Ensures plant equipment and machinery are maintained to insure a safe operating condition. Assists Transportation Manager to ensure Truck &amp; Trailer fleet is maintained to insure a safe operating condition. Security and Protection of Company Assets: Secures and protects all plant assets including fully loaded trailers. Ensures plant and yard is locked and secure before leaving for the day. Performs as member of emergency response team Grounds Maintenance: Ensures plant exterior, grounds exterior and landscaping is maintained to insure safety and appearance. Employee Scheduling: Schedules plant employees to insure that production is maximized and overtime is minimized. Suppliers and Vendors: Communicates Part orders &amp; Supply needs to Maintenance Tech and OM. Keeps a list of vendors on hand in case of absence. Training and Backups: Fill in for OM’s, Dispatch &amp; Scale as necessary. Assisting with training of employees in all areas to maintain depth in the ranks. Staffing: Maintains and schedules proper staffing to maximize production and insure a safe working environment. Assists in hiring new employees as necessary and knows Replanet LLC benefit options. SUPERVISORY RESPONSIBILITIES Directly supervises employees. Carries out supervisory responsibilities in accordance with the organization's policies and applicable laws. Responsibilities include the assistance in interviewing, hiring, and training employees; planning, assigning, and directing work; appraising performance; rewarding and disciplining employees; addressing complaints and resolving problems.</x:t>
        </x:is>
      </x:c>
      <x:c r="F59" t="inlineStr">
        <x:is>
          <x:t xml:space="preserve">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Associate's degree (A. A.) or equivalent from two-year college or technical school plus five years plant operations experience with at least two years of supervisory experience or equivalent combination of education and experience. LANGUAGE SKILLS Ability to read and interpret documents such as safety rules, operating and maintenance instructions, and procedure manuals. Ability to write routine reports and correspondence. Ability to speak effectively before groups of customers or employees of organization. MATHEMATICAL SKILLS Ability to calculate figures and amounts such as discounts, interest, commissions, proportions, percentages, area, circumference, and volume. Ability to apply concepts of basic algebra and geometry. REASONING ABILITY Ability to solve practical problems and deal with a variety of concrete variables in situations where only limited standardization exists. Ability to interpret a variety of instructions furnished in written, oral, diagram, or schedule form. CERTIFICATES, LICENSES, REGISTRATIONS None required.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stand, walk, and sit. The employee is occasionally required to use hands to finger, handle, or feel and reach with hands and arms. The employee must occasionally lift and/or move up to 25 pounds. Specific vision abilities required by this job include close vision, distance vision, color vision, peripheral vision, depth perception, and ability to adjust focus.</x:t>
        </x:is>
      </x:c>
      <x:c r="G59" t="inlineStr">
        <x:is>
          <x:t xml:space="preserve">RANCHO CUCAMONGA</x:t>
        </x:is>
      </x:c>
      <x:c r="H59" t="inlineStr">
        <x:is>
          <x:t xml:space="preserve">CA</x:t>
        </x:is>
      </x:c>
      <x:c r="I59" t="n">
        <x:v>0</x:v>
      </x:c>
      <x:c r="J59" t="str">
        <x:v>المؤهلات في السيرة الذاتية تخص مجالات machine learning engineer فقط، ولا توجد خبرة سابقة في مسؤوليات Plant Supervisor.</x:v>
      </x:c>
      <x:c r="K59" t="n">
        <x:v>0</x:v>
      </x:c>
      <x:c r="L59" t="str">
        <x:v>ملاحظة المراجع الثاني: بعد التدقيق، لا توجد خبرة عمل معتمدة تتناسب مع متطلبات وظيفة Plant Supervisor.</x:v>
      </x:c>
      <x:c r="M59" t="n">
        <x:v>0</x:v>
      </x:c>
      <x:c r="N59" t="n">
        <x:v>0</x:v>
      </x:c>
    </x:row>
    <x:row r="60">
      <x:c r="A60" t="inlineStr">
        <x:is>
          <x:t xml:space="preserve">RR-059</x:t>
        </x:is>
      </x:c>
      <x:c r="B60" t="inlineStr">
        <x:is>
          <x:t xml:space="preserve">CV-10</x:t>
        </x:is>
      </x:c>
      <x:c r="C60" t="inlineStr">
        <x:is>
          <x:t xml:space="preserve">degree: phd. experience level: senior-level. target role: urban planner. skills: project management, policy analysis, gis, community engagement, urban development.</x:t>
        </x:is>
      </x:c>
      <x:c r="D60" t="inlineStr">
        <x:is>
          <x:t xml:space="preserve">PROJECT MANAGERS</x:t>
        </x:is>
      </x:c>
      <x:c r="E60" t="inlineStr">
        <x:is>
          <x:t xml:space="preserve">PROJECT MANAGERS / PROCESS MANAGERS Our executive placement team is meeting with qualified managers at scheduled times. All discussions are kept totally confidential and no phone calls are accepted until initial meetings have been completed. Employed and unemployed candidates will be considered equally. PROJECT MANAGERS and PROCESS MANAGERS from Technology Engineering, Construction and Manufacturing that are currently searching employment opportunities in the Phoenix market are invited to submit their resume. Must have prior experience using a structured project management process or methodology.... Must have excellent organization planning and leadership skills...... Must have a degree or equivalent training with a minimum of ten years experience...... Chosen candidate will be responsible for all aspects of the project management cycle. ALL OPENINGS AND OPPORTUNITIES VERIFIED BY GLOBAL SOLUTIONS RESEARCH</x:t>
        </x:is>
      </x:c>
      <x:c r="F60" t="inlineStr">
        <x:is>
          <x:t xml:space="preserve">- Technical diploma minimum, undergraduate degree preferred, advanced degree favored. - 10 years experience at management level. - Must reside in Arizona or relocating to Arizona - app-pd-svc</x:t>
        </x:is>
      </x:c>
      <x:c r="G60" t="inlineStr">
        <x:is>
          <x:t xml:space="preserve">PHOENIX</x:t>
        </x:is>
      </x:c>
      <x:c r="H60" t="inlineStr">
        <x:is>
          <x:t xml:space="preserve">AZ</x:t>
        </x:is>
      </x:c>
      <x:c r="I60" t="n">
        <x:v>1</x:v>
      </x:c>
      <x:c r="J60" t="str">
        <x:v>قبول مبدئي: المرشح يمتلك أساسيات قوية، لكن طبيعة دور PROJECT MANAGERS تختلف عن اهتمامه الرئيسي كـ urban planner.</x:v>
      </x:c>
      <x:c r="K60" t="n">
        <x:v>1</x:v>
      </x:c>
      <x:c r="L60" t="str">
        <x:v>وجهة نظر ثانية: الملف يظهر بعض التقارب، لكني أرى ضرورة التأكد من المهارات التخصصية في المقابلة.</x:v>
      </x:c>
      <x:c r="M60" t="n">
        <x:v>1</x:v>
      </x:c>
      <x:c r="N60" t="n">
        <x:v>1</x:v>
      </x:c>
    </x:row>
    <x:row r="61">
      <x:c r="A61" t="inlineStr">
        <x:is>
          <x:t xml:space="preserve">RR-060</x:t>
        </x:is>
      </x:c>
      <x:c r="B61" t="inlineStr">
        <x:is>
          <x:t xml:space="preserve">CV-30</x:t>
        </x:is>
      </x:c>
      <x:c r="C61" t="inlineStr">
        <x:is>
          <x:t xml:space="preserve">degree: masters. experience level: senior-level. target role: pilot. skills: navigation, air traffic control, risk management, emergency response, weather analysis.</x:t>
        </x:is>
      </x:c>
      <x:c r="D61" t="inlineStr">
        <x:is>
          <x:t xml:space="preserve">Career Services Coordinator</x:t>
        </x:is>
      </x:c>
      <x:c r="E61" t="inlineStr">
        <x:is>
          <x:t xml:space="preserve">Premiere career training organization with a focus on helping students build careers and fulfill their goals for learning and development is now accepting resumes for the position of Career Services Coordinator. Responsibilities of this important position include but are not limited to: Performing job placement services for students and graduates Assisting students with job development services such as resume creation, interviewing skills and job search techniques/coaching Helping individuals develop employment plans based on appraisal of aptitude, interest and personality profile Track, report and document graduate employment status Contacting prospective employers to determine needs and explain placement service Arranging interviews between employers and graduating students to facilitate placement Collecting, organizing and analyzing occupational, educational and economic information for use in job placement activities Assisting in conducting community surveys to gather labor market information such as prevailing wages, hours, training and employment possibilities Assisting in marketing services within the business community Maintaining job banks, as well as a database of online resources including career guidance references and employment literature Conducting job training webinars</x:t>
        </x:is>
      </x:c>
      <x:c r="F61" t="inlineStr">
        <x:is>
          <x:t xml:space="preserve">The ideal candidate will have excellent written and verbal communication skills, a Bachelors degree and two years of career services experience. A proficiency in Microsoft Suite and the utilization of virtual software applications is imperative as well as strong organization and time management skills. A familiarity with job bank creation and maintenance and a business-to-business sales process is preferred. Qualified local candidates please submit resume to: asavoca@ptitraining.edu EOE</x:t>
        </x:is>
      </x:c>
      <x:c r="G61" t="inlineStr">
        <x:is>
          <x:t xml:space="preserve">SCOTTSDALE</x:t>
        </x:is>
      </x:c>
      <x:c r="H61" t="inlineStr">
        <x:is>
          <x:t xml:space="preserve">AZ</x:t>
        </x:is>
      </x:c>
      <x:c r="I61" t="n">
        <x:v>0</x:v>
      </x:c>
      <x:c r="J61" t="str">
        <x:v>لا يوجد أي تقاطع مهني بين دور Career Services Coordinator المطلوبة والاهتمام المهني للمرشح كـ pilot.</x:v>
      </x:c>
      <x:c r="K61" t="n">
        <x:v>0</x:v>
      </x:c>
      <x:c r="L61" t="str">
        <x:v>استبعاد: الفجوة كبيرة في المهارات بين التخصص المستهدف (pilot) والمسؤوليات المحددة لـ Career Services Coordinator.</x:v>
      </x:c>
      <x:c r="M61" t="n">
        <x:v>0</x:v>
      </x:c>
      <x:c r="N61" t="n">
        <x:v>0</x:v>
      </x:c>
    </x:row>
    <x:row r="62">
      <x:c r="A62" t="inlineStr">
        <x:is>
          <x:t xml:space="preserve">RR-061</x:t>
        </x:is>
      </x:c>
      <x:c r="B62" t="inlineStr">
        <x:is>
          <x:t xml:space="preserve">CV-30</x:t>
        </x:is>
      </x:c>
      <x:c r="C62" t="inlineStr">
        <x:is>
          <x:t xml:space="preserve">degree: masters. experience level: senior-level. target role: pilot. skills: navigation, air traffic control, risk management, emergency response, weather analysis.</x:t>
        </x:is>
      </x:c>
      <x:c r="D62" t="inlineStr">
        <x:is>
          <x:t xml:space="preserve">Production Positions</x:t>
        </x:is>
      </x:c>
      <x:c r="E62" t="inlineStr">
        <x:is>
          <x:t xml:space="preserve">Production - Manufacturing Positions- All Shifts Get out of the heat and come work for Arizona's fastest growing food company! We have production and sanitation positions available for hard working individuals who can operate machinery, lift 50 pounds, follow instructions, and work in a damp cold environment with moderate noise. Looking for energetic, responsible individuals who are able to work weekends that want a challenging career in a food manfacturing industry. Positions available: Cook Machine Operators Sandwich Artist Packers Food Prep Cleaners/Sanitation We take applications on a walk in basis on Wedndesday's from 9 AM-11 AM. You must apply in person to be considered. No phone calls please. Apply At: 859 South 86th Ave Tolleson, AZ 85353</x:t>
        </x:is>
      </x:c>
      <x:c r="F62" t="inlineStr">
        <x:is>
          <x:t xml:space="preserve">High School Diploma or GED Ability to follow oral and written instructions. Organizational skills and attention to detail. Ability to follow written policies, programs and SOP’s. Food industry and experience preferred</x:t>
        </x:is>
      </x:c>
      <x:c r="G62" t="inlineStr">
        <x:is>
          <x:t xml:space="preserve">TOLLESON</x:t>
        </x:is>
      </x:c>
      <x:c r="H62" t="inlineStr">
        <x:is>
          <x:t xml:space="preserve">AZ</x:t>
        </x:is>
      </x:c>
      <x:c r="I62" t="n">
        <x:v>0</x:v>
      </x:c>
      <x:c r="J62" t="str">
        <x:v>المرشح مستهدف العمل كـ pilot، بينما الوظيفة المعروضة هي Production Positions. الاختلاف كبير في طبيعة المهام والمسار المهني.</x:v>
      </x:c>
      <x:c r="K62" t="n">
        <x:v>0</x:v>
      </x:c>
      <x:c r="L62" t="str">
        <x:v>ملاحظة المراجع الثاني: بعد التدقيق، لا توجد خبرة عمل معتمدة تتناسب مع متطلبات وظيفة Production Positions.</x:v>
      </x:c>
      <x:c r="M62" t="n">
        <x:v>0</x:v>
      </x:c>
      <x:c r="N62" t="n">
        <x:v>0</x:v>
      </x:c>
    </x:row>
    <x:row r="63">
      <x:c r="A63" t="inlineStr">
        <x:is>
          <x:t xml:space="preserve">RR-062</x:t>
        </x:is>
      </x:c>
      <x:c r="B63" t="inlineStr">
        <x:is>
          <x:t xml:space="preserve">CV-04</x:t>
        </x:is>
      </x:c>
      <x:c r="C63" t="inlineStr">
        <x:is>
          <x:t xml:space="preserve">degree: masters. experience level: senior-level. target role: supply chain manager. skills: budgeting, supply chain optimization, risk management, logistics, project management.</x:t>
        </x:is>
      </x:c>
      <x:c r="D63" t="inlineStr">
        <x:is>
          <x:t xml:space="preserve">Transportation Load Planner</x:t>
        </x:is>
      </x:c>
      <x:c r="E63" t="inlineStr">
        <x:is>
          <x:t xml:space="preserve">DSC Logistics, an integrated logistics and supply chain management company, headquartered in Des Plaines, Illinois, focuses on supply chain capabilities that are based on changing customer needs. DSC services include logistics center management, transportation management and synchronization, business process integration, and information technology services. In today’s business environment, filled with rapid and unpredictable change, DSC manages change and information in the supply chain by being ready for anything! We currently have an opportunity for a Transportation Load Planner in our Transportation Center at our corporate office in Des Plaines, IL. Successful candidates for this role will be detail oriented and able to work in an environment of change and growth. Responsibilities of the Transportation Coordinator include: Ensure operational activity is executed in a timely and efficient manner, satifying the demands required for effective Transportation Account Management. Ensure the daily shipping plan is created and distributed to multiple origin points nationally as necessary for effective Transportation Account Management. Act as a liaison for the day to day tactical execution between logistics centers, carriers, customers and Transportation Center. On a daily basis, collect all the DSC centers’ shippable orders and create a shipping plan for each center using Transportation Management Ssystem Optimization software. Maintain contact between DSC and its customers’ receiving departments (acting as the primary Account Manager). Resolve delivery issues to effectively address Transportation Account Management issues. Communicate at the operational levels between the Transportation Center and its carriers to ensure timely pick-up and delivery appointments and service issues. Work with the Administrative groups and the Carrier Relationships group to provide timely and accurate feedback regarding carriers’ performance and other issues that may arise. Interface with customers and carriers to assist in the identification and execution of process improvement initiatives as they pertain to effective Transportation Account Management. Resolve operational issues pertaining to Transportation Account Management. The salary is commensurate with experience. We offer a market competitive benefits package, including medical, dental, vision and life insurance, 401(k) match and tuition reimbursement.</x:t>
        </x:is>
      </x:c>
      <x:c r="F63" t="inlineStr">
        <x:is>
          <x:t xml:space="preserve">Candidates selected to interview for the Transportation Load Planner must meet the following minimum requirements for consideration for this position: Bachelors degree with specialization in Logistics, Transportation or Supply Chain Management preferred 2-3 years experience in a transportation or customer facing role (specializing in Account Management) Strong analytical and communication skills with proven ability to work within the framework of the Team. TEAM concept and TEAMWORK are essential functions performed daily Excellent verbal and written communication skills as well as interpersonal and disciplined problem solving skills Demonstrated competency in MS Office Applications (Excel, Word, Access, Powerpoint). MercuryGate experience a plus. Assist Management with research and development of new techniques and procedures to increase the efficiency of any transportation operation Provide additional assistance with projects and other items to be assigned periodically</x:t>
        </x:is>
      </x:c>
      <x:c r="G63" t="inlineStr">
        <x:is>
          <x:t xml:space="preserve">DES PLAINES</x:t>
        </x:is>
      </x:c>
      <x:c r="H63" t="inlineStr">
        <x:is>
          <x:t xml:space="preserve">IL</x:t>
        </x:is>
      </x:c>
      <x:c r="I63" t="n">
        <x:v>1</x:v>
      </x:c>
      <x:c r="J63" t="str">
        <x:v>الخلفية المهنية قريبة نسبياً وتدعم بعض جوانب العمل في Transportation Load Planner، إلا أن بعض المتطلبات تحتاج تدريب إضافي.</x:v>
      </x:c>
      <x:c r="K63" t="n">
        <x:v>1</x:v>
      </x:c>
      <x:c r="L63" t="str">
        <x:v>وجهة نظر ثانية: الملف يظهر بعض التقارب، لكني أرى ضرورة التأكد من المهارات التخصصية في المقابلة.</x:v>
      </x:c>
      <x:c r="M63" t="n">
        <x:v>1</x:v>
      </x:c>
      <x:c r="N63" t="n">
        <x:v>1</x:v>
      </x:c>
    </x:row>
    <x:row r="64">
      <x:c r="A64" t="inlineStr">
        <x:is>
          <x:t xml:space="preserve">RR-063</x:t>
        </x:is>
      </x:c>
      <x:c r="B64" t="inlineStr">
        <x:is>
          <x:t xml:space="preserve">CV-26</x:t>
        </x:is>
      </x:c>
      <x:c r="C64" t="inlineStr">
        <x:is>
          <x:t xml:space="preserve">degree: phd. experience level: mid-level. target role: web developer. skills: back-end development, html, react, version control, database management.</x:t>
        </x:is>
      </x:c>
      <x:c r="D64" t="inlineStr">
        <x:is>
          <x:t xml:space="preserve">Accounts Payable Specialist</x:t>
        </x:is>
      </x:c>
      <x:c r="E64" t="inlineStr">
        <x:is>
          <x:t xml:space="preserve">Rewarding position available in our Accounts Payable Department for an AP Specialist! This is the perfect position to progess your career and gain knowledgeable experience in the AP field! The AP Specialist is responsible to perform a variety of routine duties of an accounting nature that requres good judgment and the ability to maintain confidentialiy. Primary Responsibilities include: Review invoice batches Print weekly check runs Process credit applications Process monthly A/P accrual journal entries Take vendor calls and research payment and invoice information Maintain and process Lease payments and information Maintain W-9/1099 information Assist other Accounting team members as needed Other accounting and general office duties, as assigned or required</x:t>
        </x:is>
      </x:c>
      <x:c r="F64" t="inlineStr">
        <x:is>
          <x:t xml:space="preserve">Minimum Qualifications: High school diploma or equivalent degree Minimum 3 years of Accounts Payable experience Proficient in Excel Good organizational skills Outstanding written and verbal communication skills Demonstrated ability for working with numbers and a high level of attention to detail Motivated and possessing the ability to work independently with little or no supervision Diverse Workforce / EEO : WaveDivision Holdings (WDH) recognizes and strongly supports the benefits of a diverse workforce, and strives to provide a culture that recognizes the unique contributions of each of our employees. WDH requires a drug test, background check, and employment, and education verification as conditions of employment. WDH is an equal opportunity employer and will consider all qualified candidates regardless of race, color, religion, national origin, gender, age, marital status, veteran status, and the presence of a non-job related handicap or disability, or any other legally protected status. Benefits: Wave offers a salary commensurate with position and experience as well as a comprehensive benefits package including Medical, Dental, 401k, Paid Time Off, Corporate Gym membership and more! Company Overview: Wave Broadband is a leading provider of video, internet and phone services on the West Coast, serving customers in communities in Western Washington, Oregon, Sacramento, and the San Francisco Bay Area. Wave Broadband and Astound Broadband are a part of WaveDivision Holdings , LLC, which currently serves over 360,000 residential and business customers in Washington, Oregon and California. WaveDivision Holdings is headquartered in Kirkland, Washington. Owned and operated by local industry leaders, WaveDivision Holdings supports its customers with decades of cable know-how. Its mission is to provide 100% of its cable systems with the latest technologies and upgrades including high speed internet, digital cable, home phone service, international programming, DVR, HDTV, and Free TV On Demand services.</x:t>
        </x:is>
      </x:c>
      <x:c r="G64" t="inlineStr">
        <x:is>
          <x:t xml:space="preserve">KIRKLAND</x:t>
        </x:is>
      </x:c>
      <x:c r="H64" t="inlineStr">
        <x:is>
          <x:t xml:space="preserve">WA</x:t>
        </x:is>
      </x:c>
      <x:c r="I64" t="n">
        <x:v>0</x:v>
      </x:c>
      <x:c r="J64" t="str">
        <x:v>المؤهلات في السيرة الذاتية تخص مجالات web developer فقط، ولا توجد خبرة سابقة في مسؤوليات Accounts Payable Specialist.</x:v>
      </x:c>
      <x:c r="K64" t="n">
        <x:v>0</x:v>
      </x:c>
      <x:c r="L64" t="str">
        <x:v>استبعاد: الفجوة كبيرة في المهارات بين التخصص المستهدف (web developer) والمسؤوليات المحددة لـ Accounts Payable Specialist.</x:v>
      </x:c>
      <x:c r="M64" t="n">
        <x:v>0</x:v>
      </x:c>
      <x:c r="N64" t="n">
        <x:v>0</x:v>
      </x:c>
    </x:row>
    <x:row r="65">
      <x:c r="A65" t="inlineStr">
        <x:is>
          <x:t xml:space="preserve">RR-064</x:t>
        </x:is>
      </x:c>
      <x:c r="B65" t="inlineStr">
        <x:is>
          <x:t xml:space="preserve">CV-17</x:t>
        </x:is>
      </x:c>
      <x:c r="C65" t="inlineStr">
        <x:is>
          <x:t xml:space="preserve">degree: bachelors. experience level: senior-level. target role: content writer. skills: research, creative writing, blogging, editing, communication.</x:t>
        </x:is>
      </x:c>
      <x:c r="D65" t="inlineStr">
        <x:is>
          <x:t xml:space="preserve">Processing Technician</x:t>
        </x:is>
      </x:c>
      <x:c r="E65" t="inlineStr">
        <x:is>
          <x:t xml:space="preserve">Job Summary Perform various processing and data entry functions for underwriters as assigned. Duties &amp; Essential Job Functions Enter data, per underwriter instructions, into rating systems. distribute rating sheets and quote sheets, as instructed . Issue and assemble policies/endorsements, mailing or emailing them to the agen ts. Communicate with underwriters by answering questions and/or providing information/documents as requested. Prepare mail for the post office. Create/Mail cancellation or non-renewal notices when needed. Take Certificate of Mail Reports and envelopes to the post office for signature/post office stamping. return validated reports to the office. Enter billing/accounting information for policies/endorsements in databases. Update/distribute spreadsheets as directed by the underwriters or AVP. Maintain a consistent quantity and quality of work, at prescribed standards. Perform other duties as assigned.</x:t>
        </x:is>
      </x:c>
      <x:c r="F65" t="inlineStr">
        <x:is>
          <x:t xml:space="preserve">Job Requirements : This person should have window-based application experience and be proficient with Word/Excel/Adobe Insurance experience a plus</x:t>
        </x:is>
      </x:c>
      <x:c r="G65" t="inlineStr">
        <x:is>
          <x:t xml:space="preserve">ALPHARETTA</x:t>
        </x:is>
      </x:c>
      <x:c r="H65" t="inlineStr">
        <x:is>
          <x:t xml:space="preserve">GA</x:t>
        </x:is>
      </x:c>
      <x:c r="I65" t="n">
        <x:v>0</x:v>
      </x:c>
      <x:c r="J65" t="str">
        <x:v>المرشح غير مناسب لشاغر Processing Technician؛ توجهه المهني والمهارات المذكورة تنحصر في تخصص content writer.</x:v>
      </x:c>
      <x:c r="K65" t="n">
        <x:v>0</x:v>
      </x:c>
      <x:c r="L65" t="str">
        <x:v>ملاحظة المراجع الثاني: بعد التدقيق، لا توجد خبرة عمل معتمدة تتناسب مع متطلبات وظيفة Processing Technician.</x:v>
      </x:c>
      <x:c r="M65" t="n">
        <x:v>0</x:v>
      </x:c>
      <x:c r="N65" t="n">
        <x:v>0</x:v>
      </x:c>
    </x:row>
    <x:row r="66">
      <x:c r="A66" t="inlineStr">
        <x:is>
          <x:t xml:space="preserve">RR-065</x:t>
        </x:is>
      </x:c>
      <x:c r="B66" t="inlineStr">
        <x:is>
          <x:t xml:space="preserve">CV-19</x:t>
        </x:is>
      </x:c>
      <x:c r="C66" t="inlineStr">
        <x:is>
          <x:t xml:space="preserve">degree: bachelors. experience level: senior-level. target role: chef. skills: food preparation, knife skills, presentation skills, menu planning, culinary skills.</x:t>
        </x:is>
      </x:c>
      <x:c r="D66" t="inlineStr">
        <x:is>
          <x:t xml:space="preserve">Restaurant Manager</x:t>
        </x:is>
      </x:c>
      <x:c r="E66" t="inlineStr">
        <x:is>
          <x:t xml:space="preserve">Join an experienced organization of a leading national brand in Charlotte, NC. We currently have multiple locations and are seeking a full-time General Manager to fuel our growth. Our General Managers oversee and impact all aspects of the store that will contribute to its ultimate and ongoing success. Responsibilities and Key Activities Satisfy Guests Hold guests as highest priority and role model exceptional guest service Lead by example and promote an environment where there is a sense of urgency to satisfy guests Ensure brand standards and systems are executed Engage and empower team to develop solutions that drive business results Lead Team Promote a team environment by fostering respect, providing coaching and feedback, recognizing achievements, resolving crew concerns, and communicating effectively Hire, train, and develop the right people and plan staffing levels to meet guest and business needs Continuously learn while passing on knowledge and skills to help others develop and grow Hold themselves and team accountable for responsibilities and results Drive Profitability Drive sales through effective execution of store standards and marketing initiatives Delegate and lead processes to control labor costs, food costs, and cash Ensure the safety and security of team and guests through a focus on preventative maintenance and cleanliness Analyze store environment and business results to identify opportunities and create plans with their team to set and achieve goals</x:t>
        </x:is>
      </x:c>
      <x:c r="F66" t="inlineStr">
        <x:is>
          <x:t xml:space="preserve">Requirements: Related management experience High School Graduate or equivalent. College degree in business or related discipline preferred Must possess strong initiative, leadership and organization skills Good judgment and reasoning ability Good oral and written communication skills Ability to work nights and weekends at multiple store locations if necessary QSR background is preferred but not required. Job Benefits: Competitive salary with significant bonus potential Important : Candidates will not be included in our search unless they provide specific salary requirements.</x:t>
        </x:is>
      </x:c>
      <x:c r="G66" t="inlineStr">
        <x:is>
          <x:t xml:space="preserve">CHARLOTTE</x:t>
        </x:is>
      </x:c>
      <x:c r="H66" t="inlineStr">
        <x:is>
          <x:t xml:space="preserve">NC</x:t>
        </x:is>
      </x:c>
      <x:c r="I66" t="n">
        <x:v>1</x:v>
      </x:c>
      <x:c r="J66" t="str">
        <x:v>توجد مهارات إدارية وتنظيمية مشتركة مع دور Restaurant Manager، لكن المرشح ينقصه التخصص المباشر والخبرة الفنية الدقيقة.</x:v>
      </x:c>
      <x:c r="K66" t="n">
        <x:v>1</x:v>
      </x:c>
      <x:c r="L66" t="str">
        <x:v>وجهة نظر ثانية: الملف يظهر بعض التقارب، لكني أرى ضرورة التأكد من المهارات التخصصية في المقابلة.</x:v>
      </x:c>
      <x:c r="M66" t="n">
        <x:v>1</x:v>
      </x:c>
      <x:c r="N66" t="n">
        <x:v>1</x:v>
      </x:c>
    </x:row>
    <x:row r="67">
      <x:c r="A67" t="inlineStr">
        <x:is>
          <x:t xml:space="preserve">RR-066</x:t>
        </x:is>
      </x:c>
      <x:c r="B67" t="inlineStr">
        <x:is>
          <x:t xml:space="preserve">CV-05</x:t>
        </x:is>
      </x:c>
      <x:c r="C67" t="inlineStr">
        <x:is>
          <x:t xml:space="preserve">degree: masters. experience level: senior-level. target role: database administrator. skills: optimization, cloud databases, sql, database management, performance tuning.</x:t>
        </x:is>
      </x:c>
      <x:c r="D67" t="inlineStr">
        <x:is>
          <x:t xml:space="preserve">DataBase Administrator</x:t>
        </x:is>
      </x:c>
      <x:c r="E67" t="inlineStr">
        <x:is>
          <x:t xml:space="preserve">Would you like to live and work in beautiful Upstate New York, close to the shores of Oneida Lake? A healthcare system is looking for a DataBase Administrator to join their IT team.</x:t>
        </x:is>
      </x:c>
      <x:c r="F67" t="inlineStr">
        <x:is>
          <x:t xml:space="preserve">To be considered, you need a 4 year degree in Computer Science and 3-4 years related experience. You also need to have experience in SQL, Oracle, Crystal and Access. Please Contact: Jim Fledderjohn 317.773.4323 Ext.115 jim@mriweb.com</x:t>
        </x:is>
      </x:c>
      <x:c r="G67" t="inlineStr">
        <x:is>
          <x:t xml:space="preserve">SYRACUSE</x:t>
        </x:is>
      </x:c>
      <x:c r="H67" t="inlineStr">
        <x:is>
          <x:t xml:space="preserve">NY</x:t>
        </x:is>
      </x:c>
      <x:c r="I67" t="n">
        <x:v>2</x:v>
      </x:c>
      <x:c r="J67" t="str">
        <x:v>تطابق ممتاز في المؤهلات والخبرات العملية مع الشاغر الوظيفي (DataBase Administrator).</x:v>
      </x:c>
      <x:c r="K67" t="n">
        <x:v>2</x:v>
      </x:c>
      <x:c r="L67" t="str">
        <x:v>مرشح قوي: المطابقة عالية ومباشرة لجميع المسؤوليات اليومية المطلوبة.</x:v>
      </x:c>
      <x:c r="M67" t="n">
        <x:v>2</x:v>
      </x:c>
      <x:c r="N67" t="n">
        <x:v>2</x:v>
      </x:c>
    </x:row>
    <x:row r="68">
      <x:c r="A68" t="inlineStr">
        <x:is>
          <x:t xml:space="preserve">RR-067</x:t>
        </x:is>
      </x:c>
      <x:c r="B68" t="inlineStr">
        <x:is>
          <x:t xml:space="preserve">CV-20</x:t>
        </x:is>
      </x:c>
      <x:c r="C68" t="inlineStr">
        <x:is>
          <x:t xml:space="preserve">degree: phd. experience level: mid-level. target role: ai researcher. skills: innovation, programming, research methodology, machine learning, deep learning.</x:t>
        </x:is>
      </x:c>
      <x:c r="D68" t="inlineStr">
        <x:is>
          <x:t xml:space="preserve">Scientific Research Positions</x:t>
        </x:is>
      </x:c>
      <x:c r="E68" t="inlineStr">
        <x:is>
          <x:t xml:space="preserve">WIL Research in Ashland, Ohio has multiple openings for the following positions: ▪ Chemists (BS Chemistry) ▪ Senior Research Chemists (PhD) ▪ Formulations Specialists (BS Biology/Chemistry) ▪ Toxicology Professionals (PhD) ▪ Research Biologists (BS/BA Biology) ▪ Scientific Report Writers (BS Biology/Technical Writing) ▪ Quality Assurance Auditors View our website at www.wilresearch.com for additional details regarding the above opportunities. WIL Research offers a competitive compensation and benefits package. WIL is located in North-central Ohio, with easy accessibility to Cleveland, Columbus and a variety of cultural and recreational opportunities. Please download an application at www.wilresearch.com and mail or fax, along with resume to: WIL Research Laboratories, LLC, 1407 George Road, Ashland, OH 44805. Fax: (419) 289-3650. EOE.</x:t>
        </x:is>
      </x:c>
      <x:c r="F68" t="inlineStr">
        <x:is>
          <x:t xml:space="preserve">see description</x:t>
        </x:is>
      </x:c>
      <x:c r="G68" t="inlineStr">
        <x:is>
          <x:t xml:space="preserve">PHOENIX</x:t>
        </x:is>
      </x:c>
      <x:c r="H68" t="inlineStr">
        <x:is>
          <x:t xml:space="preserve">AZ</x:t>
        </x:is>
      </x:c>
      <x:c r="I68" t="n">
        <x:v>1</x:v>
      </x:c>
      <x:c r="J68" t="str">
        <x:v>قبول مبدئي: المرشح يمتلك أساسيات قوية، لكن طبيعة دور Scientific Research Positions تختلف عن اهتمامه الرئيسي كـ ai researcher.</x:v>
      </x:c>
      <x:c r="K68" t="n">
        <x:v>1</x:v>
      </x:c>
      <x:c r="L68" t="str">
        <x:v>تقييم مستقل: توجد مهارات عامة يمكن الاستفادة منها، ولكن التأهيل غير مكتمل لوظيفة Scientific Research Positions.</x:v>
      </x:c>
      <x:c r="M68" t="n">
        <x:v>1</x:v>
      </x:c>
      <x:c r="N68" t="n">
        <x:v>1</x:v>
      </x:c>
    </x:row>
    <x:row r="69">
      <x:c r="A69" t="inlineStr">
        <x:is>
          <x:t xml:space="preserve">RR-068</x:t>
        </x:is>
      </x:c>
      <x:c r="B69" t="inlineStr">
        <x:is>
          <x:t xml:space="preserve">CV-04</x:t>
        </x:is>
      </x:c>
      <x:c r="C69" t="inlineStr">
        <x:is>
          <x:t xml:space="preserve">degree: masters. experience level: senior-level. target role: supply chain manager. skills: budgeting, supply chain optimization, risk management, logistics, project management.</x:t>
        </x:is>
      </x:c>
      <x:c r="D69" t="inlineStr">
        <x:is>
          <x:t xml:space="preserve">CATEGORY BUYER</x:t>
        </x:is>
      </x:c>
      <x:c r="E69" t="inlineStr">
        <x:is>
          <x:t xml:space="preserve">We are currently seeking a Buyer to support our closure and dispensing category. In this position the Category Buyer will provide support to regional procurement team, outside sales force and customers. This position will become a subject matter expert within the closure category and will develop strong relationships with industry-leading suppliers to deliver a competitive advantage for Berlin Packaging. We are seeking an individual who thrives on building effective business relationships, has a customer-driven focus and strong follow up skills. If you are energetic, enthusiastic, and have an unquenchable desire to grow and succeed, your opportunity to grow and prosper will be limitless. Primary Duties and Responsibilities: Cost Savings and Cost Management Identify areas of opportunity with regard to cost reduction and negotiation and align with regional procurement on execution Routinely develop and implement regional and national buying strategies Monitor and negotiate resin increases/decreases along with other general price adjustments Implement rebate programs with suppliers that are linked to annual volumes as well as payment terms Negotiate pricing, terms and other contractual issues with suppliers Manage transportation costs and focus on reducing total landed cost Category Management Develop a deep understanding of supplier’s products and capabilities and how they match up with our customer needs Share category and supplier knowledge with regional procurement and outside sales through training programs that will deliver a competitive advantage for Berlin Packaging Project Management &amp; Sourcing Work with Sales and the project team to understand upcoming projects and identify potential sources of supply Effectively gather project requirements from Sales and obtain pricing from qualified sources of Supply Focus on creating supplier relationships that offer win-win results Supplier Development &amp; Performance Improvement Effectively manage supplier performance by conducting routine supplier business reviews Routinely meet with current suppliers to bring new and improved product solutions forward Focus on developing new suppliers as improved performance and/ or alternative solutions are required Routinely meet with suppliers and drive process solutions that will improve performance throughout the supply chain</x:t>
        </x:is>
      </x:c>
      <x:c r="F69" t="inlineStr">
        <x:is>
          <x:t xml:space="preserve">3-5 years experience in category management/strategic sourcing/supply chain Bachelors degree in a business related discipline Strong business acumen Experience with project management, negotiation and supplier management Excellent communication and strong negotiation skills Ability to successfully multi-task in a fast-paced environment This position requires an individual who is self-directed and detail-oriented with an inquisitive nature and the desire to solve problems A strong work ethic with a positive "can-do" attitude and one who takes pride in the quality of their work</x:t>
        </x:is>
      </x:c>
      <x:c r="G69" t="inlineStr">
        <x:is>
          <x:t xml:space="preserve">CHICAGO</x:t>
        </x:is>
      </x:c>
      <x:c r="H69" t="inlineStr">
        <x:is>
          <x:t xml:space="preserve">IL</x:t>
        </x:is>
      </x:c>
      <x:c r="I69" t="n">
        <x:v>1</x:v>
      </x:c>
      <x:c r="J69" t="str">
        <x:v>تقارب جزئي في المهارات العملية، ولكن يحتاج لمراجعة تفصيلية في المقابلة للتأكد من مدى ملاءمته لمهام CATEGORY BUYER.</x:v>
      </x:c>
      <x:c r="K69" t="n">
        <x:v>2</x:v>
      </x:c>
      <x:c r="L69" t="str">
        <x:v>تقييم ممتاز: السيرة الذاتية تفي بجميع الشروط وتظهر خبرة متقدمة في مجال CATEGORY BUYER.</x:v>
      </x:c>
      <x:c r="M69" t="n">
        <x:v>1</x:v>
      </x:c>
      <x:c r="N69" t="n">
        <x:v>1</x:v>
      </x:c>
    </x:row>
    <x:row r="70">
      <x:c r="A70" t="inlineStr">
        <x:is>
          <x:t xml:space="preserve">RR-069</x:t>
        </x:is>
      </x:c>
      <x:c r="B70" t="inlineStr">
        <x:is>
          <x:t xml:space="preserve">CV-24</x:t>
        </x:is>
      </x:c>
      <x:c r="C70" t="inlineStr">
        <x:is>
          <x:t xml:space="preserve">degree: phd. experience level: senior-level. target role: accountant. skills: financial analysis, accounting software, auditing, budgeting, spreadsheet skills.</x:t>
        </x:is>
      </x:c>
      <x:c r="D70" t="inlineStr">
        <x:is>
          <x:t xml:space="preserve">Senior Accountant</x:t>
        </x:is>
      </x:c>
      <x:c r="E70" t="inlineStr">
        <x:is>
          <x:t xml:space="preserve">Senior Accountant Investment Reporting * Tax Background * Advent Technology 3-5 Years Experience High Net-Worth Family Office on Michigan Avenue seeks an exceptional accountant with an investment focus to oversee investor interest in multiple entities. The Senior Accountant will prepare closings, financial statements, and year end tax work. Reporting to the CFO, this service oriented individual will desire to work in a dynamic, closely held company where shifting gears with ease and competence will be valued. Our Senior Accountant should be Analytical with strong detail orientation, you will enjoy vast exposure across all asset classes from a global perspective.</x:t>
        </x:is>
      </x:c>
      <x:c r="F70" t="inlineStr">
        <x:is>
          <x:t xml:space="preserve">Our Ideal Senior Accountant should have; BS in Accounting, CPA a plus 5 + years experience, extensive financial statement preparation, and direct experience with limited partnerships, alternative investments and portfolio reporting. Experience with operating companies and knowledge of flow through entity taxation is desirable. Adven t experience or similar investment reporting system experiences a must. Public Accounting or Family Office experience is desired. Excel and QuickBooks proficiency is necessary. Capitalize on your reputation for exceeding goals in an exciting, growing organization with great work-life balance. Send resume in Word Doc Only to joel@cmcconsult.com or click "apply now" Senior Accountant, Accountant, CPA, Public Accounting, Senior Accountant, Accountant, CPA, Public Accounting,Senior Accountant, Accountant, CPA, Public Accounting, Senior Accountant, Accountant, CPA, Public Accounting, Senior Accountant, Accountant, CPA, Public Accounting, Senior Accountant, Accountant, CPA, Public Accounting, Senior Accountant, Accountant, CPA, Public Accounting, Senior Accountant, Accountant, CPA, Public Accounting,</x:t>
        </x:is>
      </x:c>
      <x:c r="G70" t="inlineStr">
        <x:is>
          <x:t xml:space="preserve">CHICAGO</x:t>
        </x:is>
      </x:c>
      <x:c r="H70" t="inlineStr">
        <x:is>
          <x:t xml:space="preserve">IL</x:t>
        </x:is>
      </x:c>
      <x:c r="I70" t="n">
        <x:v>2</x:v>
      </x:c>
      <x:c r="J70" t="str">
        <x:v>السيرة الذاتية ممتازة ومطابقة بشكل مباشر لمهام ومتطلبات وظيفة Senior Accountant. يوصى بالترشيح للمقابلة.</x:v>
      </x:c>
      <x:c r="K70" t="n">
        <x:v>2</x:v>
      </x:c>
      <x:c r="L70" t="str">
        <x:v>مرشح قوي: المطابقة عالية ومباشرة لجميع المسؤوليات اليومية المطلوبة.</x:v>
      </x:c>
      <x:c r="M70" t="n">
        <x:v>2</x:v>
      </x:c>
      <x:c r="N70" t="n">
        <x:v>2</x:v>
      </x:c>
    </x:row>
    <x:row r="71">
      <x:c r="A71" t="inlineStr">
        <x:is>
          <x:t xml:space="preserve">RR-070</x:t>
        </x:is>
      </x:c>
      <x:c r="B71" t="inlineStr">
        <x:is>
          <x:t xml:space="preserve">CV-13</x:t>
        </x:is>
      </x:c>
      <x:c r="C71" t="inlineStr">
        <x:is>
          <x:t xml:space="preserve">degree: bachelors. experience level: senior-level. target role: biomedical engineer. skills: clinical trials, medical devices, engineering, research, regulatory compliance.</x:t>
        </x:is>
      </x:c>
      <x:c r="D71" t="inlineStr">
        <x:is>
          <x:t xml:space="preserve">Medical</x:t>
        </x:is>
      </x:c>
      <x:c r="E71" t="inlineStr">
        <x:is>
          <x:t xml:space="preserve">Transcriptionist/ Office Clerk /Histotechnologist with computer skills. For pathology lab in Coral Gables. Exc pay &amp; benefits. Fax resume to 786-268-6085 or crene@mkpathology.com Source - Miami Herald</x:t>
        </x:is>
      </x:c>
      <x:c r="F71" t="inlineStr">
        <x:is>
          <x:t xml:space="preserve">Please refer to the Job Description to view the requirements for this job</x:t>
        </x:is>
      </x:c>
      <x:c r="G71" t="inlineStr">
        <x:is>
          <x:t xml:space="preserve">MIAMI</x:t>
        </x:is>
      </x:c>
      <x:c r="H71" t="inlineStr">
        <x:is>
          <x:t xml:space="preserve">FL</x:t>
        </x:is>
      </x:c>
      <x:c r="I71" t="n">
        <x:v>0</x:v>
      </x:c>
      <x:c r="J71" t="str">
        <x:v>لا يوجد أي تقاطع مهني بين دور Medical المطلوبة والاهتمام المهني للمرشح كـ biomedical engineer.</x:v>
      </x:c>
      <x:c r="K71" t="n">
        <x:v>0</x:v>
      </x:c>
      <x:c r="L71" t="str">
        <x:v>ملاحظة المراجع الثاني: بعد التدقيق، لا توجد خبرة عمل معتمدة تتناسب مع متطلبات وظيفة Medical.</x:v>
      </x:c>
      <x:c r="M71" t="n">
        <x:v>0</x:v>
      </x:c>
      <x:c r="N71" t="n">
        <x:v>0</x:v>
      </x:c>
    </x:row>
    <x:row r="72">
      <x:c r="A72" t="inlineStr">
        <x:is>
          <x:t xml:space="preserve">RR-071</x:t>
        </x:is>
      </x:c>
      <x:c r="B72" t="inlineStr">
        <x:is>
          <x:t xml:space="preserve">CV-29</x:t>
        </x:is>
      </x:c>
      <x:c r="C72" t="inlineStr">
        <x:is>
          <x:t xml:space="preserve">degree: bachelors. experience level: senior-level. target role: dentist. skills: anatomy, orthodontics, oral health, patient care, oral hygiene.</x:t>
        </x:is>
      </x:c>
      <x:c r="D72" t="inlineStr">
        <x:is>
          <x:t xml:space="preserve">Front Desk Receptionist / Patient Relations Coordinator</x:t>
        </x:is>
      </x:c>
      <x:c r="E72" t="inlineStr">
        <x:is>
          <x:t xml:space="preserve">SMILE... A Bright Future Awaits with Benson J. Ybanez, D.D.S &amp; Associates, P.A We are currently seeking a professional, bright and enthusiastic person with excellent people/communication skills. The ideal candidate will be an upbeat multi-tasker that is experienced in handling multiple phone lines. Front Desk Receptionist / Patient Relations Coordinator You will play a vital role in the efficient operation of the practice. You will provide exceptional customer service and meet the many non-clinical needs of our patients. In addition, when needed you will help coordinate the flow of patients through the office, assist patients with payments, insurance and billing information, schedule appointments and maintain patient charts.</x:t>
        </x:is>
      </x:c>
      <x:c r="F72" t="inlineStr">
        <x:is>
          <x:t xml:space="preserve">Qualified Applicants Will Possess: Previous dental is a plus Experienced with answering multiple phone lines in a fast paced environment Previous customer service experience is must PC proficiency Conflict-resolution skills Demonstrated problem solving skills and good judgment We recognize our associates are our most valuable assets. You will be working alongside top-notch dental professionals in a pleasant work environment that recognizes and rewards achievement. You will also receive some of the best benefits in the industry, including: Competitive pay Monthly Incentives Bonus Opportunities Comprehensive Benefits Program Paid Holidays and Generous Paid Time Off Programs Formal Training Program Advancement Opportunities Dr. Benson J. Ybanez &amp; Associates encourage workplace diversity and are proud to be an Equal Opportunity Employer</x:t>
        </x:is>
      </x:c>
      <x:c r="G72" t="inlineStr">
        <x:is>
          <x:t xml:space="preserve">JACKSONVILLE</x:t>
        </x:is>
      </x:c>
      <x:c r="H72" t="inlineStr">
        <x:is>
          <x:t xml:space="preserve">NC</x:t>
        </x:is>
      </x:c>
      <x:c r="I72" t="n">
        <x:v>0</x:v>
      </x:c>
      <x:c r="J72" t="str">
        <x:v>المرشح مستهدف العمل كـ dentist، بينما الوظيفة المعروضة هي Front Desk Receptionist / Patient Relations Coordinator. الاختلاف كبير في طبيعة المهام والمسار المهني.</x:v>
      </x:c>
      <x:c r="K72" t="n">
        <x:v>0</x:v>
      </x:c>
      <x:c r="L72" t="str">
        <x:v>تقييم مستقل: المرشح مركز تماماً على مجال dentist وهو بعيد عن النطاق التشغيلي لدور Front Desk Receptionist / Patient Relations Coordinator.</x:v>
      </x:c>
      <x:c r="M72" t="n">
        <x:v>0</x:v>
      </x:c>
      <x:c r="N72" t="n">
        <x:v>0</x:v>
      </x:c>
    </x:row>
    <x:row r="73">
      <x:c r="A73" t="inlineStr">
        <x:is>
          <x:t xml:space="preserve">RR-072</x:t>
        </x:is>
      </x:c>
      <x:c r="B73" t="inlineStr">
        <x:is>
          <x:t xml:space="preserve">CV-02</x:t>
        </x:is>
      </x:c>
      <x:c r="C73" t="inlineStr">
        <x:is>
          <x:t xml:space="preserve">degree: bachelors. experience level: mid-level. target role: physician. skills: healthcare, pharmacology, medical terminology, patient care, surgical skills.</x:t>
        </x:is>
      </x:c>
      <x:c r="D73" t="inlineStr">
        <x:is>
          <x:t xml:space="preserve">Business Development &amp; Physician Staffing</x:t>
        </x:is>
      </x:c>
      <x:c r="E73" t="inlineStr">
        <x:is>
          <x:t xml:space="preserve">We are currently seeking highly motivated, self-sufficient, career minded professionals to join our physician recruitment team. We are an established and highly respected national professional search and contracting firm that is rapidly expanding and seeking sales and staffing professionals to join our team in Austin, TX (South Austin). Specific Duties Will Include: Serve as an industry expert and go-to contact for Physicians and mid-level healthcare professionals for locum tenens and/or permanent positions. Collaborate with clients to identify needs and provide staffing solutions. Identify candidates to fill client needs based on desired skills, qualities, and attributes of a successful candidate for the client environment. Develop an extensive network of prospects through cold calling, networking and intensive search methodologies. In this position you will use your creativity, tenacity, and perseverance to secure contracts, negotiate rates, and establish new business to build a career in a growing market. As a member of our team, you will have the training &amp; tools you need to succeed along with the support of our seasoned professionals with many years of experience in our business. Compensation &amp; Benefits: This position includes a base salary and top commissions. Whitaker offers Major Medical, Dental, and 401(k).</x:t>
        </x:is>
      </x:c>
      <x:c r="F73" t="inlineStr">
        <x:is>
          <x:t xml:space="preserve">Skills &amp; Qualifications: Our target candidate will be confident, persuasive, fearless, unafraid of cold calling, and have the creativity and persistence to uncover untapped markets of clients and candidates. You must have the ability to develop strong relationships via telephone. Previous sales or recruiting experience will be considered, but is NOT a requirement. We’re looking for enthusiastic individuals who want to join a premier provider of Physicians and mid-level healthcare professionals.</x:t>
        </x:is>
      </x:c>
      <x:c r="G73" t="inlineStr">
        <x:is>
          <x:t xml:space="preserve">AUSTIN</x:t>
        </x:is>
      </x:c>
      <x:c r="H73" t="inlineStr">
        <x:is>
          <x:t xml:space="preserve">TX</x:t>
        </x:is>
      </x:c>
      <x:c r="I73" t="n">
        <x:v>0</x:v>
      </x:c>
      <x:c r="J73" t="str">
        <x:v>عدم مطابقة: خبرات المرشح موجهة نحو physician، وهي بعيدة عن متطلبات دور Business Development &amp; Physician Staffing.</x:v>
      </x:c>
      <x:c r="K73" t="n">
        <x:v>0</x:v>
      </x:c>
      <x:c r="L73" t="str">
        <x:v>استبعاد: الفجوة كبيرة في المهارات بين التخصص المستهدف (physician) والمسؤوليات المحددة لـ Business Development &amp; Physician Staffing.</x:v>
      </x:c>
      <x:c r="M73" t="n">
        <x:v>0</x:v>
      </x:c>
      <x:c r="N73" t="n">
        <x:v>0</x:v>
      </x:c>
    </x:row>
    <x:row r="74">
      <x:c r="A74" t="inlineStr">
        <x:is>
          <x:t xml:space="preserve">RR-073</x:t>
        </x:is>
      </x:c>
      <x:c r="B74" t="inlineStr">
        <x:is>
          <x:t xml:space="preserve">CV-17</x:t>
        </x:is>
      </x:c>
      <x:c r="C74" t="inlineStr">
        <x:is>
          <x:t xml:space="preserve">degree: bachelors. experience level: senior-level. target role: content writer. skills: research, creative writing, blogging, editing, communication.</x:t>
        </x:is>
      </x:c>
      <x:c r="D74" t="inlineStr">
        <x:is>
          <x:t xml:space="preserve">Insurance Underwriting Support</x:t>
        </x:is>
      </x:c>
      <x:c r="E74" t="inlineStr">
        <x:is>
          <x:t xml:space="preserve">Looking for candidates to provide support and assistance to life insurance underwriting staff. Responsibilities include requirements management of collecting data regarding new and renewal accounts. Candidates will also organize reports and perform other administrative duties and tasks assigned by the manger. Job Responsibilities: Assist in gathering/processing requirements for Life Insurance underwriting process Complete all deliverables timely and accurately Create necessary standard and adhoc reports based on business requirements These positions are M-F 8a-5p and benefits are available upon first day of employment Drug Screen and Background Check Required</x:t>
        </x:is>
      </x:c>
      <x:c r="F74" t="inlineStr">
        <x:is>
          <x:t xml:space="preserve">Desired Skill Set: Domain knowledge/experience in life and annuity insurance 2 years of work experience in underwriting support/case management Knowledge/experience in using/understanding medical terminology Proficient in Microsoft Office Suite Ability to type 35-40 WP Excellent Customer Service skills Good written and verbal communication skills Strong analytical skills Excellent team player Education: HS Diploma College degree preferred LOMA designation highly desired</x:t>
        </x:is>
      </x:c>
      <x:c r="G74" t="inlineStr">
        <x:is>
          <x:t xml:space="preserve">MARIETTA</x:t>
        </x:is>
      </x:c>
      <x:c r="H74" t="inlineStr">
        <x:is>
          <x:t xml:space="preserve">GA</x:t>
        </x:is>
      </x:c>
      <x:c r="I74" t="n">
        <x:v>0</x:v>
      </x:c>
      <x:c r="J74" t="str">
        <x:v>المؤهلات في السيرة الذاتية تخص مجالات content writer فقط، ولا توجد خبرة سابقة في مسؤوليات Insurance Underwriting Support.</x:v>
      </x:c>
      <x:c r="K74" t="n">
        <x:v>0</x:v>
      </x:c>
      <x:c r="L74" t="str">
        <x:v>ملاحظة المراجع الثاني: بعد التدقيق، لا توجد خبرة عمل معتمدة تتناسب مع متطلبات وظيفة Insurance Underwriting Support.</x:v>
      </x:c>
      <x:c r="M74" t="n">
        <x:v>0</x:v>
      </x:c>
      <x:c r="N74" t="n">
        <x:v>0</x:v>
      </x:c>
    </x:row>
    <x:row r="75">
      <x:c r="A75" t="inlineStr">
        <x:is>
          <x:t xml:space="preserve">RR-074</x:t>
        </x:is>
      </x:c>
      <x:c r="B75" t="inlineStr">
        <x:is>
          <x:t xml:space="preserve">CV-24</x:t>
        </x:is>
      </x:c>
      <x:c r="C75" t="inlineStr">
        <x:is>
          <x:t xml:space="preserve">degree: phd. experience level: senior-level. target role: accountant. skills: financial analysis, accounting software, auditing, budgeting, spreadsheet skills.</x:t>
        </x:is>
      </x:c>
      <x:c r="D75" t="inlineStr">
        <x:is>
          <x:t xml:space="preserve">Senior Staff Accountant</x:t>
        </x:is>
      </x:c>
      <x:c r="E75" t="inlineStr">
        <x:is>
          <x:t xml:space="preserve">Growing, private equity owned company is seeking a Senior Staff Accountant for its corporate accounting team. This position supports the Corporate Controller in the day to day accounting and analysis of financial results, including the preparation of financial reports. This is a multi-location, multi-entity organization, so the Senior Staff Accountant will have sole responsibility for daily accounting and financial statement preparation for assigned locations throughout the U.S. Responsibilities include, but are not limited to: All aspects of the month end close process, including assisting in the preparation of financial statements Assist with the preparation of monthly close journal entries and balance sheet reconciliations Consolidation of the financial results of multiple entities Perform monthly analytical review of P&amp;L variances Review margins monthly to identify areas for improvement and potential accounting issues Financial statement analysis – comparison of actual results to budget and forecast and reporting results and analysis to upper level management General Ledger maintenance Maintaining fixed asset schedules Preparing schedules for external auditors and tax accountants Develop new and enhanced management reporting including graphs, tables, charts and ad-hoc reports Work with daily finance and accounting team to develop efficient methods of collecting, organizing and disseminating financial information to management</x:t>
        </x:is>
      </x:c>
      <x:c r="F75" t="inlineStr">
        <x:is>
          <x:t xml:space="preserve">The ideal candidate will have: Bachelors degree in accounting or finance; CPA preferred 5-7 years of accounting experience required Experience in a multi-location accounting environment preferred, such as property accounting, retail, or health system. Conscientious, detailed and willing to improve processes Experience working with a large ERP system preferred (SAP, Peoplesoft, Oracle, etc) Strong oral and written communication skills Excellent organization skills Strong interpersonal skills Experienced user of Microsoft Office products (Excel, Word, PowerPoint and Access) On top of the exciting career opportunity, we also offer an excellent compensation/benefit package including medical, dental, vision and life insurance as well as 401-K, and profit sharing. Please apply now for immediate consideration.</x:t>
        </x:is>
      </x:c>
      <x:c r="G75" t="inlineStr">
        <x:is>
          <x:t xml:space="preserve">CHICAGO</x:t>
        </x:is>
      </x:c>
      <x:c r="H75" t="inlineStr">
        <x:is>
          <x:t xml:space="preserve">IL</x:t>
        </x:is>
      </x:c>
      <x:c r="I75" t="n">
        <x:v>2</x:v>
      </x:c>
      <x:c r="J75" t="str">
        <x:v>تطابق ممتاز في المؤهلات والخبرات العملية مع الشاغر الوظيفي (Senior Staff Accountant).</x:v>
      </x:c>
      <x:c r="K75" t="n">
        <x:v>2</x:v>
      </x:c>
      <x:c r="L75" t="str">
        <x:v>تقييم ممتاز: السيرة الذاتية تفي بجميع الشروط وتظهر خبرة متقدمة في مجال Senior Staff Accountant.</x:v>
      </x:c>
      <x:c r="M75" t="n">
        <x:v>2</x:v>
      </x:c>
      <x:c r="N75" t="n">
        <x:v>2</x:v>
      </x:c>
    </x:row>
    <x:row r="76">
      <x:c r="A76" t="inlineStr">
        <x:is>
          <x:t xml:space="preserve">RR-075</x:t>
        </x:is>
      </x:c>
      <x:c r="B76" t="inlineStr">
        <x:is>
          <x:t xml:space="preserve">CV-01</x:t>
        </x:is>
      </x:c>
      <x:c r="C76" t="inlineStr">
        <x:is>
          <x:t xml:space="preserve">degree: bachelors. experience level: mid-level. target role: fitness coach. skills: injury prevention, motivation, nutrition, health coaching, strength training.</x:t>
        </x:is>
      </x:c>
      <x:c r="D76" t="inlineStr">
        <x:is>
          <x:t xml:space="preserve">Payroll Assistant</x:t>
        </x:is>
      </x:c>
      <x:c r="E76" t="inlineStr">
        <x:is>
          <x:t xml:space="preserve">We are seeking a unique individual to fulfill a vital position within our Payroll Department This position is available immediately. The primary responsibilities for the Payroll Assistant include the following: Compiles payroll data such as commissions, bonuses, garnishments, vacation time and any deductions. Receives report of employee hours worked and verifies for completeness and accuracy. Contacts various department supervisors for any missed times. Transmits payroll data, maintains related records and change orders including employee files. Compiles internal management reports from payroll software. Supports the balance of the accounting staff with general accounting as well as accounts payable which will necessitate extensive knowledge of Peachtree Accounting Software as well as general financial reporting. Additional tasks my include bank reconciliation, general ledger entries. Makes supervisor and senior management aware of any new or unusual developments regarding any and all payroll issues or issues of Company concern. Other duties may be assigned. Competitive salary is offered based on experience. All of our employees are offered a gym membership to all of our facilities and the opportunity to participate in our fitness programs. Position is available immediately; forward cover letter, resume and salary history.</x:t>
        </x:is>
      </x:c>
      <x:c r="F76" t="inlineStr">
        <x:is>
          <x:t xml:space="preserve">Requirements are as follows: . Demonstrates ability to understand customer is #1 both internally and externally Ability to use sound business judgment and have strong analytical skills Ability to effectively communicate with the least amount of disturbance to all employees Must possess enthusiasm and a willingness to promote brand recognition Strong and effective interpersonal skills Ability to be proactive and self directed Effective listening skills Effective and follow-up skills Effective planning and organization skills Demonstrates ability to create a positive environment Demonstrates willingness and openness for self development Ability to identify and use resources to improve overall operations Peachtree Accounting Software Microsoft Office Suite: Word, Excel, PowerPoint, Outlook Compensation is based on experience. We offer a rewarding work environment with a pleasant atmosphere. Apply today!</x:t>
        </x:is>
      </x:c>
      <x:c r="G76" t="inlineStr">
        <x:is>
          <x:t xml:space="preserve">NORTHRIDGE</x:t>
        </x:is>
      </x:c>
      <x:c r="H76" t="inlineStr">
        <x:is>
          <x:t xml:space="preserve">CA</x:t>
        </x:is>
      </x:c>
      <x:c r="I76" t="n">
        <x:v>0</x:v>
      </x:c>
      <x:c r="J76" t="str">
        <x:v>لا يوجد أي تقاطع مهني بين دور Payroll Assistant المطلوبة والاهتمام المهني للمرشح كـ fitness coach.</x:v>
      </x:c>
      <x:c r="K76" t="n">
        <x:v>0</x:v>
      </x:c>
      <x:c r="L76" t="str">
        <x:v>استبعاد: الفجوة كبيرة في المهارات بين التخصص المستهدف (fitness coach) والمسؤوليات المحددة لـ Payroll Assistant.</x:v>
      </x:c>
      <x:c r="M76" t="n">
        <x:v>0</x:v>
      </x:c>
      <x:c r="N76" t="n">
        <x:v>0</x:v>
      </x:c>
    </x:row>
    <x:row r="77">
      <x:c r="A77" t="inlineStr">
        <x:is>
          <x:t xml:space="preserve">RR-076</x:t>
        </x:is>
      </x:c>
      <x:c r="B77" t="inlineStr">
        <x:is>
          <x:t xml:space="preserve">CV-04</x:t>
        </x:is>
      </x:c>
      <x:c r="C77" t="inlineStr">
        <x:is>
          <x:t xml:space="preserve">degree: masters. experience level: senior-level. target role: supply chain manager. skills: budgeting, supply chain optimization, risk management, logistics, project management.</x:t>
        </x:is>
      </x:c>
      <x:c r="D77" t="inlineStr">
        <x:is>
          <x:t xml:space="preserve">Operations Manager</x:t>
        </x:is>
      </x:c>
      <x:c r="E77" t="inlineStr">
        <x:is>
          <x:t xml:space="preserve">Brightstar is the world’s largest specialized wireless distributor and a leading global services company focused on enhancing the performance and profitability of the key participants in the wireless device value chain. The company supports over 80,000 points of sale worldwide with operations in 51 countries and territories and provides a comprehensive range of more than 100 customized services for value-added distribution, supply chain optimization, retail, IT VARs mobility, and consumers. Brightstar’s services help customers manage the growing complexity of the wireless device value chain and enable them to increase product availability, expand their channel reach and drive supply chain efficiencies by getting the right products to the right place at the right time for the best value. For more information, please visit www.brightstarcorp.com You share our passion for innovation and proactive customer service. You are an ambitious, analytical thinker who is keen to learn and quick on the uptake You know how to communicate and assert yourself with an open attitude and determination . You thrive in an interactive and rapidly changing environment. You enjoy working in a team environment and are not afraid to think outside the box. You are fully conscious of the fact that flexibility logical thinking and the ability to adapt to new situations are essenti als for business success. The MCRS Operations Manager will own the responsibility for ensuring that product flow and performance efforts are measured, monitored and optimized. Job Responsibilities: Understand document and monitor the overall warehouse operational system covering areas such as throughput and productivity Analyze operations from both capacity and efficiency perspectives to understand the dynamics of the system and propose improvements Key point of contact for Customer Services, IT and Operations Implement and manage the operational business process for stock management and integrity in line with business targets Produce short medium and long term forecasts for warehouse throughput using input from commercial planning departments Responsible for warehouse inventory system alignment between MCRS, Brightstar and other partners can customers Oversee the management of the adjustments and understand causes for discrepancies Monitor the capacity of storage areas and initiate consolidation processes where required to maximise storage and picking efficiencies Measure actual performance against business KPI’s and communicate effectively cross-functionally Involvement in new projects impacting the warehouse system and operation Drive continuous development and improvement of targets and KPI’s Control production of reporting to ensure that operational decision making is informed Manage and initiate pick waves in line with operational and business requirements Key Relationships MCRS Management and B* US Commercial Teams Brightstar US IT and Customer Business Leaders External service providers and/or partner</x:t>
        </x:is>
      </x:c>
      <x:c r="F77" t="inlineStr">
        <x:is>
          <x:t xml:space="preserve">Skills 5-7 years experience in a direct to consumer fulfillment environment Able to articulate and communicate a vision, understand the technologies in the marketplace and provide a strategic perspective to staff members, management and executive management. Experience 5-7 years work experience in a high volume pick/pack/ship environment. . Good communication skills strong command in English Strong documentation &amp; presentation skills. Preferred Education &amp; Training: Finance or Technical degree from a four-year college or university (or revelvant experience) MBA a plus.</x:t>
        </x:is>
      </x:c>
      <x:c r="G77" t="inlineStr">
        <x:is>
          <x:t xml:space="preserve">LIBERTYVILLE</x:t>
        </x:is>
      </x:c>
      <x:c r="H77" t="inlineStr">
        <x:is>
          <x:t xml:space="preserve">IL</x:t>
        </x:is>
      </x:c>
      <x:c r="I77" t="n">
        <x:v>1</x:v>
      </x:c>
      <x:c r="J77" t="str">
        <x:v>تقارب جزئي في المهارات العملية، ولكن يحتاج لمراجعة تفصيلية في المقابلة للتأكد من مدى ملاءمته لمهام Operations Manager.</x:v>
      </x:c>
      <x:c r="K77" t="n">
        <x:v>1</x:v>
      </x:c>
      <x:c r="L77" t="str">
        <x:v>تقييم مستقل: توجد مهارات عامة يمكن الاستفادة منها، ولكن التأهيل غير مكتمل لوظيفة Operations Manager.</x:v>
      </x:c>
      <x:c r="M77" t="n">
        <x:v>1</x:v>
      </x:c>
      <x:c r="N77" t="n">
        <x:v>1</x:v>
      </x:c>
    </x:row>
    <x:row r="78">
      <x:c r="A78" t="inlineStr">
        <x:is>
          <x:t xml:space="preserve">RR-077</x:t>
        </x:is>
      </x:c>
      <x:c r="B78" t="inlineStr">
        <x:is>
          <x:t xml:space="preserve">CV-15</x:t>
        </x:is>
      </x:c>
      <x:c r="C78" t="inlineStr">
        <x:is>
          <x:t xml:space="preserve">degree: masters. experience level: mid-level. target role: systems analyst. skills: data analysis, systems integration, project management, sql, business process modeling.</x:t>
        </x:is>
      </x:c>
      <x:c r="D78" t="inlineStr">
        <x:is>
          <x:t xml:space="preserve">Application Systems Architect</x:t>
        </x:is>
      </x:c>
      <x:c r="E78" t="inlineStr">
        <x:is>
          <x:t xml:space="preserve">Opportunity for a full time with dynamic health care company! Application Strategy and Planning - Defines and communicates application strategies and implementation plans aligned with business strategy and annual financial targets. Application Design - Develops functional, technical and user interface designs for an application that meets the defined requirements (business, architecture, system performance and standards). That includes the use of industry standards and best practices to ease the development of business applications. Testing - Plans, creates, executes and documents test assets and results to ensure software and technical environments meet functional and system performance specifications. Understands and applies various testing techniques which may include positive, negative, bounds, black and white box and performance testing. Application Implementation - Plans and implements the transition or enhancement to a new application or infrastructure with minimal impact to the users.</x:t>
        </x:is>
      </x:c>
      <x:c r="F78" t="inlineStr">
        <x:is>
          <x:t xml:space="preserve">BA/BS degree required. Minimum of ten years experience in system implementation, preferably in the health care industry. Experience working with Business Partners, Technical Partners, Health/Managed Care Partners and Consultants. Knowledge of the Organization, Operational and Technical Strategic Initiatives, Project Management, Systems Development Life Cycle, Business Process Architecture including Reengineering. MS Office Suite, MS Project Plan, Rational Suite of Tools, MS SharePoint Experience in healthcare industry and systems implementation. Experience with application configuration and development, re-engineering and delivery. Experience with all phases of multifaceted programs including planning, deliverables, communications and quality assessment measurement. Skill in analyzing applications and requirements to understand current state and prepare future state. Skill in defusing tense situations through diplomatic problem-solving. Knowledge of counselling, conflict resolution and customer service principles and applications. Skill in effectively balancing needs of the Operational and Technical Teams. Skill in using research methods to clarify issues and policies.</x:t>
        </x:is>
      </x:c>
      <x:c r="G78" t="inlineStr">
        <x:is>
          <x:t xml:space="preserve">BRONX</x:t>
        </x:is>
      </x:c>
      <x:c r="H78" t="inlineStr">
        <x:is>
          <x:t xml:space="preserve">NY</x:t>
        </x:is>
      </x:c>
      <x:c r="I78" t="n">
        <x:v>1</x:v>
      </x:c>
      <x:c r="J78" t="str">
        <x:v>توجد مهارات إدارية وتنظيمية مشتركة مع دور Application Systems Architect، لكن المرشح ينقصه التخصص المباشر والخبرة الفنية الدقيقة.</x:v>
      </x:c>
      <x:c r="K78" t="n">
        <x:v>1</x:v>
      </x:c>
      <x:c r="L78" t="str">
        <x:v>وجهة نظر ثانية: الملف يظهر بعض التقارب، لكني أرى ضرورة التأكد من المهارات التخصصية في المقابلة.</x:v>
      </x:c>
      <x:c r="M78" t="n">
        <x:v>1</x:v>
      </x:c>
      <x:c r="N78" t="n">
        <x:v>1</x:v>
      </x:c>
    </x:row>
    <x:row r="79">
      <x:c r="A79" t="inlineStr">
        <x:is>
          <x:t xml:space="preserve">RR-078</x:t>
        </x:is>
      </x:c>
      <x:c r="B79" t="inlineStr">
        <x:is>
          <x:t xml:space="preserve">CV-01</x:t>
        </x:is>
      </x:c>
      <x:c r="C79" t="inlineStr">
        <x:is>
          <x:t xml:space="preserve">degree: bachelors. experience level: mid-level. target role: fitness coach. skills: injury prevention, motivation, nutrition, health coaching, strength training.</x:t>
        </x:is>
      </x:c>
      <x:c r="D79" t="inlineStr">
        <x:is>
          <x:t xml:space="preserve">Secretary - Immediate Opening</x:t>
        </x:is>
      </x:c>
      <x:c r="E79" t="inlineStr">
        <x:is>
          <x:t xml:space="preserve">Manufacturing company has immediate opening for a Secretarial position. • CUSTOMER SERVICE Phone receptionist and general administrative duties. Communicate with customers to receive orders via fax, e-mail, phone. Process customer orders accurately and timely. Research customer order history and review inventory for availability. Maintain and update customer files. Follow-up on orders in progress. Communicate order status with outside sales staff. • INSIDE SALES Obtain pricing on purchases, generate and follow-up on quotes. Cold and warm calling, and general customer support. Contact customers to collect on invoices that are past due. • PURCHASING &amp; RECEIVING Communicate with vendors regarding purchasing of materials. Verify accuracy of order when receiving vendor products.</x:t>
        </x:is>
      </x:c>
      <x:c r="F79" t="inlineStr">
        <x:is>
          <x:t xml:space="preserve">◦ EDUCATION &amp; EXPERIENCE Bachelor degree in business. Candidate must possess at least 3 years inside sales experience with excellent communication and problem solving skills. Must be self-motivated, have the ability to multitask well, ability to work independently with time constraints as well as a good team player. ◦ LANGUAGE SKILLS Positions requires ability to read and comprehend simple instructions, short correspondence, and memos. Ability to write simple correspondence. Ability to effectively present information in one-on-one and small group situations to supervisors, co-workers, customers and vendors. Bilingual: English and Spanish a must. ◦ MATHEMATICAL SKILLS Position requires ability to add, subtract, multiply, and divide in all units of measure, using whole numbers, common fractions, and decimals. ◦ COMPUTER SKILLS Position requires ability to understand and utilize Microsoft Office (Word and Excel ). Please include your DESIRED SALARY on the resume.</x:t>
        </x:is>
      </x:c>
      <x:c r="G79" t="inlineStr">
        <x:is>
          <x:t xml:space="preserve">RIVERSIDE</x:t>
        </x:is>
      </x:c>
      <x:c r="H79" t="inlineStr">
        <x:is>
          <x:t xml:space="preserve">CA</x:t>
        </x:is>
      </x:c>
      <x:c r="I79" t="n">
        <x:v>0</x:v>
      </x:c>
      <x:c r="J79" t="str">
        <x:v>المؤهلات في السيرة الذاتية تخص مجالات fitness coach فقط، ولا توجد خبرة سابقة في مسؤوليات Secretary - Immediate Opening.</x:v>
      </x:c>
      <x:c r="K79" t="n">
        <x:v>1</x:v>
      </x:c>
      <x:c r="L79" t="str">
        <x:v>قبول مشروط: الخلفية المهنية قريبة نسبياً لـ Secretary - Immediate Opening، لكن يحتاج لتدريب على المهام الأساسية.</x:v>
      </x:c>
      <x:c r="M79" t="n">
        <x:v>0</x:v>
      </x:c>
      <x:c r="N79" t="n">
        <x:v>0</x:v>
      </x:c>
    </x:row>
    <x:row r="80">
      <x:c r="A80" t="inlineStr">
        <x:is>
          <x:t xml:space="preserve">RR-079</x:t>
        </x:is>
      </x:c>
      <x:c r="B80" t="inlineStr">
        <x:is>
          <x:t xml:space="preserve">CV-05</x:t>
        </x:is>
      </x:c>
      <x:c r="C80" t="inlineStr">
        <x:is>
          <x:t xml:space="preserve">degree: masters. experience level: senior-level. target role: database administrator. skills: optimization, cloud databases, sql, database management, performance tuning.</x:t>
        </x:is>
      </x:c>
      <x:c r="D80" t="inlineStr">
        <x:is>
          <x:t xml:space="preserve">Payroll/ Human Resources Administrator</x:t>
        </x:is>
      </x:c>
      <x:c r="E80" t="inlineStr">
        <x:is>
          <x:t xml:space="preserve">For over ten years The Manhattan Club has provided the perfect solution for those who frequent New York City to enjoy Broadway Theater, fine dining, classical performances, elegant shopping and a virtual cornucopia of events and attractions that makes this City so special. Opened since 1997, presently having 287 all-suites, we experience consistent high occupancy rates. We are presently searching for a Payroll and Human Resources Administrator to join our team. This is a pivotal role that blends Payroll management with accounting and Human Resources Administration. Payroll and Human Resources Administrator Responsibilities: Manage all payroll processes, including time and attendance system Interact with the Accounting Department as needed Work with the Human Resources Team to assist with HR Administration Ensure proper accruals are recorded each week/month and all company and industry policies are in compliance and enforced to meet Internal Audit Standards Responsible for processing and filing all newly hired personnel paperwork as well as rate changes and termination paperwork Other duties will be assigned to promote the proper functioning of the Human Resources Department</x:t>
        </x:is>
      </x:c>
      <x:c r="F80" t="inlineStr">
        <x:is>
          <x:t xml:space="preserve">Requirements: College Degree Previous Payroll and/or Human Resources Experience Knowledge of Paychex, Novatime Time Concepts a plus MS Office proficiency with advanced Excel and report writing skills Knowledge of NYHTC and HANYC Industry Wide Agreement a plus Outstanding program management, time management, troubleshooting and analytical skills Requires excellent organizational skills, sharp attention to details and an openness to new ideas and procedures Demonstrate an ability to work well under pressure Ability to work independently Discretion in dealing with confidential matters a must May require limited travel to our Pennsylvania location Please send resumes to: Fax: 212-884-0926 The Manhattan Club HR Department 200 West 56 th Street New York, NY 10019 hr@manhattanclub.com</x:t>
        </x:is>
      </x:c>
      <x:c r="G80" t="inlineStr">
        <x:is>
          <x:t xml:space="preserve">NEW YORK</x:t>
        </x:is>
      </x:c>
      <x:c r="H80" t="inlineStr">
        <x:is>
          <x:t xml:space="preserve">NY</x:t>
        </x:is>
      </x:c>
      <x:c r="I80" t="n">
        <x:v>0</x:v>
      </x:c>
      <x:c r="J80" t="str">
        <x:v>المرشح غير مناسب لشاغر Payroll/ Human Resources Administrator؛ توجهه المهني والمهارات المذكورة تنحصر في تخصص database administrator.</x:v>
      </x:c>
      <x:c r="K80" t="n">
        <x:v>0</x:v>
      </x:c>
      <x:c r="L80" t="str">
        <x:v>ملاحظة المراجع الثاني: بعد التدقيق، لا توجد خبرة عمل معتمدة تتناسب مع متطلبات وظيفة Payroll/ Human Resources Administrator.</x:v>
      </x:c>
      <x:c r="M80" t="n">
        <x:v>0</x:v>
      </x:c>
      <x:c r="N80" t="n">
        <x:v>0</x:v>
      </x:c>
    </x:row>
    <x:row r="81">
      <x:c r="A81" t="inlineStr">
        <x:is>
          <x:t xml:space="preserve">RR-080</x:t>
        </x:is>
      </x:c>
      <x:c r="B81" t="inlineStr">
        <x:is>
          <x:t xml:space="preserve">CV-13</x:t>
        </x:is>
      </x:c>
      <x:c r="C81" t="inlineStr">
        <x:is>
          <x:t xml:space="preserve">degree: bachelors. experience level: senior-level. target role: biomedical engineer. skills: clinical trials, medical devices, engineering, research, regulatory compliance.</x:t>
        </x:is>
      </x:c>
      <x:c r="D81" t="inlineStr">
        <x:is>
          <x:t xml:space="preserve">Medical</x:t>
        </x:is>
      </x:c>
      <x:c r="E81" t="inlineStr">
        <x:is>
          <x:t xml:space="preserve">MEDICAL ASSISTANT Exp'd. P/T for busy family practice in Homestead. Fax resume to: 305-246-8109 Source - Miami Herald</x:t>
        </x:is>
      </x:c>
      <x:c r="F81" t="inlineStr">
        <x:is>
          <x:t xml:space="preserve">Please refer to the Job Description to view the requirements for this job</x:t>
        </x:is>
      </x:c>
      <x:c r="G81" t="inlineStr">
        <x:is>
          <x:t xml:space="preserve">HOMESTEAD</x:t>
        </x:is>
      </x:c>
      <x:c r="H81" t="inlineStr">
        <x:is>
          <x:t xml:space="preserve">FL</x:t>
        </x:is>
      </x:c>
      <x:c r="I81" t="n">
        <x:v>0</x:v>
      </x:c>
      <x:c r="J81" t="str">
        <x:v>لا يوجد أي تقاطع مهني بين دور Medical المطلوبة والاهتمام المهني للمرشح كـ biomedical engineer.</x:v>
      </x:c>
      <x:c r="K81" t="n">
        <x:v>0</x:v>
      </x:c>
      <x:c r="L81" t="str">
        <x:v>تقييم مستقل: المرشح مركز تماماً على مجال biomedical engineer وهو بعيد عن النطاق التشغيلي لدور Medical.</x:v>
      </x:c>
      <x:c r="M81" t="n">
        <x:v>0</x:v>
      </x:c>
      <x:c r="N81" t="n">
        <x:v>0</x:v>
      </x:c>
    </x:row>
    <x:row r="82">
      <x:c r="A82" t="inlineStr">
        <x:is>
          <x:t xml:space="preserve">RR-081</x:t>
        </x:is>
      </x:c>
      <x:c r="B82" t="inlineStr">
        <x:is>
          <x:t xml:space="preserve">CV-21</x:t>
        </x:is>
      </x:c>
      <x:c r="C82" t="inlineStr">
        <x:is>
          <x:t xml:space="preserve">degree: bachelors. experience level: mid-level. target role: data analyst. skills: sql, data reporting, excel, statistics, data analysis.</x:t>
        </x:is>
      </x:c>
      <x:c r="D82" t="inlineStr">
        <x:is>
          <x:t xml:space="preserve">Financial Systems Analyst</x:t>
        </x:is>
      </x:c>
      <x:c r="E82" t="inlineStr">
        <x:is>
          <x:t xml:space="preserve">The Mergis Group is presently conducting a search for a Financial Systems Analyst for their fast-paced, rapidly growing financial services client in Pasadena, CA. In this newly created role within corporate accounting, the analyst's primary responsibilities will include: supporting company's various business units utilizing custom data analysis, developing and maintaining analytical tools using SQL, creation of ad-hoc SQL scripts, reporting of analysis, and special projects as assigned. Company offers excellent leadership team, opportunities for growth, competitive benefits and a base salary up to $75k + Bonus.</x:t>
        </x:is>
      </x:c>
      <x:c r="F82" t="inlineStr">
        <x:is>
          <x:t xml:space="preserve">The right candidate will have at least 3 years of relative experience out of an advisory or data consulting company, top-notch skills in the areas of: investigative/problem-solving/operations, advanced critical-thinking skills, creativity with report-writing, and possess the ability to manage large volume of data utilizing MS Excel and SQL at a high level. Other requirements include: *Bachelor's Degree in Accounting and/or Finance *Advanced Skills utilizing MS Excel and SQL *Top-Notch Verbal and Written Communication Skills For immediate consideration, please email resume to Chip Doshi, chipdoshi@mergisgroup.com or 818.299.9303</x:t>
        </x:is>
      </x:c>
      <x:c r="G82" t="inlineStr">
        <x:is>
          <x:t xml:space="preserve">PASADENA</x:t>
        </x:is>
      </x:c>
      <x:c r="H82" t="inlineStr">
        <x:is>
          <x:t xml:space="preserve">CA</x:t>
        </x:is>
      </x:c>
      <x:c r="I82" t="n">
        <x:v>1</x:v>
      </x:c>
      <x:c r="J82" t="str">
        <x:v>توجد مهارات إدارية وتنظيمية مشتركة مع دور Financial Systems Analyst، لكن المرشح ينقصه التخصص المباشر والخبرة الفنية الدقيقة.</x:v>
      </x:c>
      <x:c r="K82" t="n">
        <x:v>1</x:v>
      </x:c>
      <x:c r="L82" t="str">
        <x:v>قبول مشروط: الخلفية المهنية قريبة نسبياً لـ Financial Systems Analyst، لكن يحتاج لتدريب على المهام الأساسية.</x:v>
      </x:c>
      <x:c r="M82" t="n">
        <x:v>1</x:v>
      </x:c>
      <x:c r="N82" t="n">
        <x:v>1</x:v>
      </x:c>
    </x:row>
    <x:row r="83">
      <x:c r="A83" t="inlineStr">
        <x:is>
          <x:t xml:space="preserve">RR-082</x:t>
        </x:is>
      </x:c>
      <x:c r="B83" t="inlineStr">
        <x:is>
          <x:t xml:space="preserve">CV-14</x:t>
        </x:is>
      </x:c>
      <x:c r="C83" t="inlineStr">
        <x:is>
          <x:t xml:space="preserve">degree: masters. experience level: senior-level. target role: nurse. skills: compassion, medical terminology, healthcare, first aid, cpr.</x:t>
        </x:is>
      </x:c>
      <x:c r="D83" t="inlineStr">
        <x:is>
          <x:t xml:space="preserve">PRSC: Social Services</x:t>
        </x:is>
      </x:c>
      <x:c r="E83" t="inlineStr">
        <x:is>
          <x:t xml:space="preserve">Join our family! Our Long Term Care facilities are seeking caring, motivated individuals to work in the capacity of Psychiatric Rehabilitation Services Coordinator. Acting as an advocate/liaison with residents and their families, you will address issues affecting health and psychosocial needs, assist residents in obtaining appropriate services as related to discharge planning. Your credentials must include familiarity with federal and state Medicare regulations, as well as knowledge of minimum data set (MDS 3.0) in order to comply with medical records. We offer competitive wage and benefits packages. We are looking for men and women with a BA in a human services field and LTC and/or psychiatric care experience as well. We have a long history as a leader in this industry. While we remain family owned and operated, we still offer a strong corporate-type support system. We welcome anyone with a desire to offer their best in caring for our geriatric and MI populations.</x:t>
        </x:is>
      </x:c>
      <x:c r="F83" t="inlineStr">
        <x:is>
          <x:t xml:space="preserve">Requirements BA in a human services field and LTC and/or psychiatric care experience. Strong writing skills and time management skills; demonstrates the ability to work both independently and as part of an interdisciplinary team. Well-developed administrative, counseling and communication skills, and personal qualities including independent judgment, initiative and ingenuity. The willingness and ability to work with older adults, and the compassion to do so successfully. A proactive personality and a strong appreciation for teamwork and flexibility. The ability to work in an unstructured environment where multitasking, problem-solving, and responding quickly and effectively is essential. Experience facilitating groups. Ability to maintain confidentiality. Computer proficiency. Upbeat, pleasant personality Motivated to help and care for the Geriatric and Geri-psych population.</x:t>
        </x:is>
      </x:c>
      <x:c r="G83" t="inlineStr">
        <x:is>
          <x:t xml:space="preserve">CHICAGO</x:t>
        </x:is>
      </x:c>
      <x:c r="H83" t="inlineStr">
        <x:is>
          <x:t xml:space="preserve">IL</x:t>
        </x:is>
      </x:c>
      <x:c r="I83" t="n">
        <x:v>1</x:v>
      </x:c>
      <x:c r="J83" t="str">
        <x:v>الخلفية المهنية قريبة نسبياً وتدعم بعض جوانب العمل في PRSC: Social Services، إلا أن بعض المتطلبات تحتاج تدريب إضافي.</x:v>
      </x:c>
      <x:c r="K83" t="n">
        <x:v>1</x:v>
      </x:c>
      <x:c r="L83" t="str">
        <x:v>تقييم مستقل: توجد مهارات عامة يمكن الاستفادة منها، ولكن التأهيل غير مكتمل لوظيفة PRSC: Social Services.</x:v>
      </x:c>
      <x:c r="M83" t="n">
        <x:v>1</x:v>
      </x:c>
      <x:c r="N83" t="n">
        <x:v>1</x:v>
      </x:c>
    </x:row>
    <x:row r="84">
      <x:c r="A84" t="inlineStr">
        <x:is>
          <x:t xml:space="preserve">RR-083</x:t>
        </x:is>
      </x:c>
      <x:c r="B84" t="inlineStr">
        <x:is>
          <x:t xml:space="preserve">CV-23</x:t>
        </x:is>
      </x:c>
      <x:c r="C84" t="inlineStr">
        <x:is>
          <x:t xml:space="preserve">degree: phd. experience level: senior-level. target role: civil engineer. skills: materials testing, risk assessment, structural design, soil mechanics, construction management.</x:t>
        </x:is>
      </x:c>
      <x:c r="D84" t="inlineStr">
        <x:is>
          <x:t xml:space="preserve">Structural Engineer</x:t>
        </x:is>
      </x:c>
      <x:c r="E84" t="inlineStr">
        <x:is>
          <x:t xml:space="preserve">Botkin Parssi &amp; Associates, Inc. (BPA) has been providing professional structural engineering, project planning and construction administration services to clients in Palm Beach County for over 35 years. BPA offers a wide variety of structural engineering services, including structural design, feasibility studies, project criteria and specification development, CADD drafting, independent design/peer review, specialized structural analysis, failure analysis and threshold inspections. Our projects include high-end residential, commercial, industrial, condominium restoration, retail and hardscaping. BPA has one opening for Structural Engineer. BPA's work environment is fast-paced yet collegial, with involvement in many challenging projects. Staff members come together as a team to meet deadlines and to serve our clients throughout Palm Beach County and South Florida.</x:t>
        </x:is>
      </x:c>
      <x:c r="F84" t="inlineStr">
        <x:is>
          <x:t xml:space="preserve">BPA is seeking candidates with at least a Bachelor of Science degree in Civil/Structural Engineering, with a PE license in Florida, and experience in working with structures. We are seeking at least one mid-level engineer (5-10 years). Skills/experience needed include structural design and detailing, structural calculations, field inspections, and related duties.</x:t>
        </x:is>
      </x:c>
      <x:c r="G84" t="inlineStr">
        <x:is>
          <x:t xml:space="preserve">LAKE WORTH</x:t>
        </x:is>
      </x:c>
      <x:c r="H84" t="inlineStr">
        <x:is>
          <x:t xml:space="preserve">FL</x:t>
        </x:is>
      </x:c>
      <x:c r="I84" t="n">
        <x:v>1</x:v>
      </x:c>
      <x:c r="J84" t="str">
        <x:v>قبول مبدئي: المرشح يمتلك أساسيات قوية، لكن طبيعة دور Structural Engineer تختلف عن اهتمامه الرئيسي كـ civil engineer.</x:v>
      </x:c>
      <x:c r="K84" t="n">
        <x:v>1</x:v>
      </x:c>
      <x:c r="L84" t="str">
        <x:v>وجهة نظر ثانية: الملف يظهر بعض التقارب، لكني أرى ضرورة التأكد من المهارات التخصصية في المقابلة.</x:v>
      </x:c>
      <x:c r="M84" t="n">
        <x:v>1</x:v>
      </x:c>
      <x:c r="N84" t="n">
        <x:v>1</x:v>
      </x:c>
    </x:row>
    <x:row r="85">
      <x:c r="A85" t="inlineStr">
        <x:is>
          <x:t xml:space="preserve">RR-084</x:t>
        </x:is>
      </x:c>
      <x:c r="B85" t="inlineStr">
        <x:is>
          <x:t xml:space="preserve">CV-02</x:t>
        </x:is>
      </x:c>
      <x:c r="C85" t="inlineStr">
        <x:is>
          <x:t xml:space="preserve">degree: bachelors. experience level: mid-level. target role: physician. skills: healthcare, pharmacology, medical terminology, patient care, surgical skills.</x:t>
        </x:is>
      </x:c>
      <x:c r="D85" t="inlineStr">
        <x:is>
          <x:t xml:space="preserve">Medical Sales Representative</x:t>
        </x:is>
      </x:c>
      <x:c r="E85" t="inlineStr">
        <x:is>
          <x:t xml:space="preserve">MEDICAL EQUIPMENT/SERVICES SALES REPRESENTATIVE An innovative and progressive Global Medical Equipment/Services company is expanding and seeking an energetic, self-motivated, assertive "sales superstar" to sell Medical Equipment/Services in and around the greater Houston area . Total Compensation = $130-$170K 1st year (+) plus company car allowance, all expenses covered, and full benefits. Top Reps earning $175-225K Numerous opportunities for growth! Please submit resume in a WORD.DOC format for immediate consideration! (Jenniferu@medrecruiters.com)</x:t>
        </x:is>
      </x:c>
      <x:c r="F85" t="inlineStr">
        <x:is>
          <x:t xml:space="preserve">The Ideal Candidate should meet the following requirements: A four (4) year degree. 3+ years successful medical equipment/device Healthcare Sales experience. Experience calling on the OR a plus ! Documented track record of success, including high rankings within the sales force with various accomplishments distinguishing you from the others. Leadership skills with the ability to communicate effectively and efficiently The desire and determination to be the BEST with income expectations well in the 6 figures</x:t>
        </x:is>
      </x:c>
      <x:c r="G85" t="inlineStr">
        <x:is>
          <x:t xml:space="preserve">HOUSTON</x:t>
        </x:is>
      </x:c>
      <x:c r="H85" t="inlineStr">
        <x:is>
          <x:t xml:space="preserve">TX</x:t>
        </x:is>
      </x:c>
      <x:c r="I85" t="n">
        <x:v>1</x:v>
      </x:c>
      <x:c r="J85" t="str">
        <x:v>تقارب جزئي في المهارات العملية، ولكن يحتاج لمراجعة تفصيلية في المقابلة للتأكد من مدى ملاءمته لمهام Medical Sales Representative.</x:v>
      </x:c>
      <x:c r="K85" t="n">
        <x:v>1</x:v>
      </x:c>
      <x:c r="L85" t="str">
        <x:v>قبول مشروط: الخلفية المهنية قريبة نسبياً لـ Medical Sales Representative، لكن يحتاج لتدريب على المهام الأساسية.</x:v>
      </x:c>
      <x:c r="M85" t="n">
        <x:v>1</x:v>
      </x:c>
      <x:c r="N85" t="n">
        <x:v>1</x:v>
      </x:c>
    </x:row>
    <x:row r="86">
      <x:c r="A86" t="inlineStr">
        <x:is>
          <x:t xml:space="preserve">RR-085</x:t>
        </x:is>
      </x:c>
      <x:c r="B86" t="inlineStr">
        <x:is>
          <x:t xml:space="preserve">CV-19</x:t>
        </x:is>
      </x:c>
      <x:c r="C86" t="inlineStr">
        <x:is>
          <x:t xml:space="preserve">degree: bachelors. experience level: senior-level. target role: chef. skills: food preparation, knife skills, presentation skills, menu planning, culinary skills.</x:t>
        </x:is>
      </x:c>
      <x:c r="D86" t="inlineStr">
        <x:is>
          <x:t xml:space="preserve">5 POSITIONS IMMEDIATLEY AVAILABLE**FULL TRAINING**ENTRY LEVEL</x:t>
        </x:is>
      </x:c>
      <x:c r="E86" t="inlineStr">
        <x:is>
          <x:t xml:space="preserve">We are a national direct marketing company that is experiencing explosive growth. NOTCH,, INC has been created to uniquely serve our market with innovative techniques, outstanding clients, proven systems and dynamic leadership. Compensation for this position is based solely on individual performance. This job involves in person sales to business owners. Our achievements have been a direct result of our ability to produce notch leaders. We seek a dynamic individuals to develop into leaders and mentors to serve the Charlotte market. Our Consultants are Taugh t and Learn the following: Exceptional Team Building Skills Teaching Strategies Training Methods Time Organization Management of Others Implementing Original Ideas Professional Level Negotiating Skills Pride in Yourself PLEASE VISIT US AT: WWW.NOTCH-INC.COM PROFESSIONAL DRESS IS ALWAYS REQUIRED WE NEVER HANDLE DISCOUNT COUPONS OF ANY TYPE, , NOR EVER SET UP BOOTHS, IN OR OUTSIDE OF STORES! NO RESIDENTIAL SALES EVER INVOLVED.</x:t>
        </x:is>
      </x:c>
      <x:c r="F86" t="inlineStr">
        <x:is>
          <x:t xml:space="preserve">The following job skills and requirements are preferred if you are interested in one of our positions: · Excellent written and verbal communication skills · Superior work ethic · Solution oriented · Ability to complete assigned tasks and functions with minimal supervision. · . Experience in Business Management, Business Administration, Marketing, Human Resource, Communications, or Entrepreneurship is preferred. If you do not have a degree in one of the above areas, but feel you meet the rest of the requirements, please submit a resume as certain work experience will be considered in lieu of a degree. Benefits · Comprehensive, Hands-on training provided. · Opportunities for advancement · Travel Opportunities · Performance bonuses · Meetings &amp; Conferences designed to enhance your job skills · Recession-proof position</x:t>
        </x:is>
      </x:c>
      <x:c r="G86" t="inlineStr">
        <x:is>
          <x:t xml:space="preserve">CHARLOTTE</x:t>
        </x:is>
      </x:c>
      <x:c r="H86" t="inlineStr">
        <x:is>
          <x:t xml:space="preserve">NC</x:t>
        </x:is>
      </x:c>
      <x:c r="I86" t="n">
        <x:v>0</x:v>
      </x:c>
      <x:c r="J86" t="str">
        <x:v>لا يوجد أي تقاطع مهني بين دور 5 POSITIONS IMMEDIATLEY AVAILABLE**FULL TRAINING**ENTRY LEVEL المطلوبة والاهتمام المهني للمرشح كـ chef.</x:v>
      </x:c>
      <x:c r="K86" t="n">
        <x:v>0</x:v>
      </x:c>
      <x:c r="L86" t="str">
        <x:v>ملاحظة المراجع الثاني: بعد التدقيق، لا توجد خبرة عمل معتمدة تتناسب مع متطلبات وظيفة 5 POSITIONS IMMEDIATLEY AVAILABLE**FULL TRAINING**ENTRY LEVEL.</x:v>
      </x:c>
      <x:c r="M86" t="n">
        <x:v>0</x:v>
      </x:c>
      <x:c r="N86" t="n">
        <x:v>0</x:v>
      </x:c>
    </x:row>
    <x:row r="87">
      <x:c r="A87" t="inlineStr">
        <x:is>
          <x:t xml:space="preserve">RR-086</x:t>
        </x:is>
      </x:c>
      <x:c r="B87" t="inlineStr">
        <x:is>
          <x:t xml:space="preserve">CV-21</x:t>
        </x:is>
      </x:c>
      <x:c r="C87" t="inlineStr">
        <x:is>
          <x:t xml:space="preserve">degree: bachelors. experience level: mid-level. target role: data analyst. skills: sql, data reporting, excel, statistics, data analysis.</x:t>
        </x:is>
      </x:c>
      <x:c r="D87" t="inlineStr">
        <x:is>
          <x:t xml:space="preserve">Operations Excel Analyst</x:t>
        </x:is>
      </x:c>
      <x:c r="E87" t="inlineStr">
        <x:is>
          <x:t xml:space="preserve">Position is with a national banking institution in Simi Valley, CA Job Description: Supports the servicing of assets in the Alternative Disposition Group in the Real Estate Management department. Responsibilities will include the creation, manipulation, maintenance and distribution of Excel spreadsheets on a daily basis, and may include processing routine transactions, documenting asset history, responding to customer, investor, or other 3rd party inquiries, researching and/or preparing documentation, or analyzing requests in accordance with established guidelines and determining the appropriate course of action. Handles more complex levels of transactions with limited supervision to complete daily tasks and duties. Typically has 2-4 years of experience with a working knowledge of the business and general office skills. The majority of the candidates day will encompass working in large Excel data files, Equator , and managing email inboxes with heavy volume. The typical operations employee will be responsible for sorting, extracting, and synthesizing data from our REO portfolio in support of both our First Look and Donation programs. Timeliness, accuracy and consistency are pertinent in the development of these spreadsheets for distribution as they are the foundation for our business . In addition, the operations department is the central hub for all communications, including information requests, status, and escalations. Operational employees need to be able to communicate effectively, timely and with confidence.</x:t>
        </x:is>
      </x:c>
      <x:c r="F87" t="inlineStr">
        <x:is>
          <x:t xml:space="preserve">Required Skills: “Must" have these skills to be minimally qualified. Intermediate to Advanced Excel experience including extensive experience creating and manipulating spreadsheets, using V-Lookup, and creating Pivot Tables for management review. Ability to communicate effectively both orally and in writing with internal and external customers. Excellent time management and organizational skills. Demonstrates strong critical thinking skills and reasoning ability Provide accurate and timely feedback for all projects and initiatives. Ability to work in a fast-paced environment. Excellent analytical skills and must be detail oriented. Looking for candidates with Bachelor Degree level of education. Work Hours: 8-5 Monday through Friday This is a contract opportunity.</x:t>
        </x:is>
      </x:c>
      <x:c r="G87" t="inlineStr">
        <x:is>
          <x:t xml:space="preserve">SIMI VALLEY</x:t>
        </x:is>
      </x:c>
      <x:c r="H87" t="inlineStr">
        <x:is>
          <x:t xml:space="preserve">CA</x:t>
        </x:is>
      </x:c>
      <x:c r="I87" t="n">
        <x:v>2</x:v>
      </x:c>
      <x:c r="J87" t="str">
        <x:v>تطابق ممتاز في المؤهلات والخبرات العملية مع الشاغر الوظيفي (Operations Excel Analyst).</x:v>
      </x:c>
      <x:c r="K87" t="n">
        <x:v>1</x:v>
      </x:c>
      <x:c r="L87" t="str">
        <x:v>وجهة نظر ثانية: الملف يظهر بعض التقارب، لكني أرى ضرورة التأكد من المهارات التخصصية في المقابلة.</x:v>
      </x:c>
      <x:c r="M87" t="n">
        <x:v>2</x:v>
      </x:c>
      <x:c r="N87" t="n">
        <x:v>2</x:v>
      </x:c>
    </x:row>
    <x:row r="88">
      <x:c r="A88" t="inlineStr">
        <x:is>
          <x:t xml:space="preserve">RR-087</x:t>
        </x:is>
      </x:c>
      <x:c r="B88" t="inlineStr">
        <x:is>
          <x:t xml:space="preserve">CV-01</x:t>
        </x:is>
      </x:c>
      <x:c r="C88" t="inlineStr">
        <x:is>
          <x:t xml:space="preserve">degree: bachelors. experience level: mid-level. target role: fitness coach. skills: injury prevention, motivation, nutrition, health coaching, strength training.</x:t>
        </x:is>
      </x:c>
      <x:c r="D88" t="inlineStr">
        <x:is>
          <x:t xml:space="preserve">Plant Supervisor</x:t>
        </x:is>
      </x:c>
      <x:c r="E88" t="inlineStr">
        <x:is>
          <x:t xml:space="preserve">JOB SUMMARY The Plant Supervisor assists the OM with responsibilities regarding the production of all Commodities, Plant/Transportation employees, training, maintenance, shipping, receiving, and employee safety. ESSENTIAL DUTIES AND RESPONSIBILITIES Safety: Participates in regular safety meetings and ensures that EE’s are working in a safe manner Participates in annual compliance training in all required OSHA areas Participates in regular safety audits to identify unsafe areas or practices Ensures proper Workers compensation reporting Ensures DOT requirements are met Shipping and Receiving: Assists OM in ensuring Commodity Management and Inventory is conducted/recorded daily. Ensures that material is properly processed &amp; loaded for the market they are being delivered to. Ensures paperwork is complete for all outbound/inbound shipments, Weight Tickets and Manifests. Insures all materials, both bought and sold, meet the required specifications of all parties involved. Plant Equipment and Machinery Maintenance: Ensures plant equipment and machinery are maintained to insure a safe operating condition. Assists Transportation Manager to ensure Truck &amp; Trailer fleet is maintained to insure a safe operating condition. Security and Protection of Company Assets: Secures and protects all plant assets including fully loaded trailers. Ensures plant and yard is locked and secure before leaving for the day. Performs as member of emergency response team Grounds Maintenance: Ensures plant exterior, grounds exterior and landscaping is maintained to insure safety and appearance. Employee Scheduling: Schedules plant employees to insure that production is maximized and overtime is minimized. Suppliers and Vendors: Communicates Part orders &amp; Supply needs to Maintenance Tech and OM. Keeps a list of vendors on hand in case of absence. Training and Backups: Fill in for OM’s, Dispatch &amp; Scale as necessary. Assisting with training of employees in all areas to maintain depth in the ranks. Staffing: Maintains and schedules proper staffing to maximize production and insure a safe working environment. Assists in hiring new employees as necessary and knows Replanet LLC benefit options. SUPERVISORY RESPONSIBILITIES Directly supervises employees. Carries out supervisory responsibilities in accordance with the organization's policies and applicable laws. Responsibilities include the assistance in interviewing, hiring, and training employees; planning, assigning, and directing work; appraising performance; rewarding and disciplining employees; addressing complaints and resolving problems.</x:t>
        </x:is>
      </x:c>
      <x:c r="F88" t="inlineStr">
        <x:is>
          <x:t xml:space="preserve">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Associate's degree (A. A.) or equivalent from two-year college or technical school plus five years plant operations experience with at least two years of supervisory experience or equivalent combination of education and experience. LANGUAGE SKILLS Ability to read and interpret documents such as safety rules, operating and maintenance instructions, and procedure manuals. Ability to write routine reports and correspondence. Ability to speak effectively before groups of customers or employees of organization. MATHEMATICAL SKILLS Ability to calculate figures and amounts such as discounts, interest, commissions, proportions, percentages, area, circumference, and volume. Ability to apply concepts of basic algebra and geometry. REASONING ABILITY Ability to solve practical problems and deal with a variety of concrete variables in situations where only limited standardization exists. Ability to interpret a variety of instructions furnished in written, oral, diagram, or schedule form. CERTIFICATES, LICENSES, REGISTRATIONS None required.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frequently is required to stand, walk, and sit. The employee is occasionally required to use hands to finger, handle, or feel and reach with hands and arms. The employee must occasionally lift and/or move up to 25 pounds. Specific vision abilities required by this job include close vision, distance vision, color vision, peripheral vision, depth perception, and ability to adjust focus.</x:t>
        </x:is>
      </x:c>
      <x:c r="G88" t="inlineStr">
        <x:is>
          <x:t xml:space="preserve">RANCHO CUCAMONGA</x:t>
        </x:is>
      </x:c>
      <x:c r="H88" t="inlineStr">
        <x:is>
          <x:t xml:space="preserve">CA</x:t>
        </x:is>
      </x:c>
      <x:c r="I88" t="n">
        <x:v>0</x:v>
      </x:c>
      <x:c r="J88" t="str">
        <x:v>عدم مطابقة: خبرات المرشح موجهة نحو fitness coach، وهي بعيدة عن متطلبات دور Plant Supervisor.</x:v>
      </x:c>
      <x:c r="K88" t="n">
        <x:v>0</x:v>
      </x:c>
      <x:c r="L88" t="str">
        <x:v>استبعاد: الفجوة كبيرة في المهارات بين التخصص المستهدف (fitness coach) والمسؤوليات المحددة لـ Plant Supervisor.</x:v>
      </x:c>
      <x:c r="M88" t="n">
        <x:v>0</x:v>
      </x:c>
      <x:c r="N88" t="n">
        <x:v>0</x:v>
      </x:c>
    </x:row>
    <x:row r="89">
      <x:c r="A89" t="inlineStr">
        <x:is>
          <x:t xml:space="preserve">RR-088</x:t>
        </x:is>
      </x:c>
      <x:c r="B89" t="inlineStr">
        <x:is>
          <x:t xml:space="preserve">CV-28</x:t>
        </x:is>
      </x:c>
      <x:c r="C89" t="inlineStr">
        <x:is>
          <x:t xml:space="preserve">degree: bachelors. experience level: mid-level. target role: ai specialist. skills: tensorflow, neural networks, deep learning, machine learning, nlp.</x:t>
        </x:is>
      </x:c>
      <x:c r="D89" t="inlineStr">
        <x:is>
          <x:t xml:space="preserve">Assistant to the CEO</x:t>
        </x:is>
      </x:c>
      <x:c r="E89" t="inlineStr">
        <x:is>
          <x:t xml:space="preserve">Assistant to the CEO A fantastic Executive Assistant role has opened up in downtown Boston. The EA to the CEO will be responsible for directly supporting this high profile executive along with supporting operations and working with the management team. Duties: * Accomplishes operations/organizational objectives by establishing standards and procedures; measuring results against plans and standards; evaluating and improving methods; making required changes. * Completes special projects by establishing time frames for completion with the vice president of operations; researching literature and other sources of information; analyzing qualitative and quantitative data and pro forma statements; summarizing and documenting results. * Contributes to the effectiveness of the CEO by responding to inquiries in person or in writing on behalf of the CEO; participating in meetings as assigned; reviewing and summarizing technical materials and data; assisting department heads with special management problems; ensuring that new programs are launched with complete analysis and supporting documentation; facilitating communication to/from the CEO and the divisional staff. * Maintains quality results by establishing, following, and enforcing standards. * Updates job knowledge by participating in educational opportunities; reading professional publications; maintaining personal networks; participating in professional organizations. *Accomplishes department and organization mission by completing related results as needed.</x:t>
        </x:is>
      </x:c>
      <x:c r="F89" t="inlineStr">
        <x:is>
          <x:t xml:space="preserve">We are looking for a professional administrative professional who is looking to take the next step in his or her career. This opportunity provides excellent exposure within a prestigious organization. We are seeking someone with 4+ years of administrative support experience, preferably supporting executives or high level managers. Ideally candidates will have 5-7 years of office support experience at the executive level. Keywords: Research Skills, Microsoft Office Skills, Managing Processes, Organization, Planning, Time Management, Process Improvement, Tracking Budget Expenses, Reporting Skills, Administrative Writing Skills IMMEDIATE availability is required for this position. There are no costs for candidates utilizing our services as our clients pay for all related hiring fees. All PSG job postings are either actual positions we had available at the time of posting and/or are representative of positions we typically fill or expect to fill. If you see a job that interests you, respond to the ad or give us a call so that we can help you find a job you'll love. As one of the area's largest staffing firms, we helped almost 5,000 people find jobs this year so chances are good that we can help you too.</x:t>
        </x:is>
      </x:c>
      <x:c r="G89" t="inlineStr">
        <x:is>
          <x:t xml:space="preserve">BOSTON</x:t>
        </x:is>
      </x:c>
      <x:c r="H89" t="inlineStr">
        <x:is>
          <x:t xml:space="preserve">MA</x:t>
        </x:is>
      </x:c>
      <x:c r="I89" t="n">
        <x:v>0</x:v>
      </x:c>
      <x:c r="J89" t="str">
        <x:v>المؤهلات في السيرة الذاتية تخص مجالات ai specialist فقط، ولا توجد خبرة سابقة في مسؤوليات Assistant to the CEO.</x:v>
      </x:c>
      <x:c r="K89" t="n">
        <x:v>0</x:v>
      </x:c>
      <x:c r="L89" t="str">
        <x:v>ملاحظة المراجع الثاني: بعد التدقيق، لا توجد خبرة عمل معتمدة تتناسب مع متطلبات وظيفة Assistant to the CEO.</x:v>
      </x:c>
      <x:c r="M89" t="n">
        <x:v>0</x:v>
      </x:c>
      <x:c r="N89" t="n">
        <x:v>0</x:v>
      </x:c>
    </x:row>
    <x:row r="90">
      <x:c r="A90" t="inlineStr">
        <x:is>
          <x:t xml:space="preserve">RR-089</x:t>
        </x:is>
      </x:c>
      <x:c r="B90" t="inlineStr">
        <x:is>
          <x:t xml:space="preserve">CV-23</x:t>
        </x:is>
      </x:c>
      <x:c r="C90" t="inlineStr">
        <x:is>
          <x:t xml:space="preserve">degree: phd. experience level: senior-level. target role: civil engineer. skills: materials testing, risk assessment, structural design, soil mechanics, construction management.</x:t>
        </x:is>
      </x:c>
      <x:c r="D90" t="inlineStr">
        <x:is>
          <x:t xml:space="preserve">Construction</x:t>
        </x:is>
      </x:c>
      <x:c r="E90" t="inlineStr">
        <x:is>
          <x:t xml:space="preserve">HANDYMAN The Arc of So. Fla. is looking for Handyman in Miami-Dade. F/T. Exc benefits. EOE. Fax res: 305-754-9223 Email: vburley@arcsofla.org Source - Miami Herald</x:t>
        </x:is>
      </x:c>
      <x:c r="F90" t="inlineStr">
        <x:is>
          <x:t xml:space="preserve">Please refer to the Job Description to view the requirements for this job</x:t>
        </x:is>
      </x:c>
      <x:c r="G90" t="inlineStr">
        <x:is>
          <x:t xml:space="preserve">MIAMI</x:t>
        </x:is>
      </x:c>
      <x:c r="H90" t="inlineStr">
        <x:is>
          <x:t xml:space="preserve">FL</x:t>
        </x:is>
      </x:c>
      <x:c r="I90" t="n">
        <x:v>0</x:v>
      </x:c>
      <x:c r="J90" t="str">
        <x:v>المرشح غير مناسب لشاغر Construction؛ توجهه المهني والمهارات المذكورة تنحصر في تخصص civil engineer.</x:v>
      </x:c>
      <x:c r="K90" t="n">
        <x:v>0</x:v>
      </x:c>
      <x:c r="L90" t="str">
        <x:v>تقييم مستقل: المرشح مركز تماماً على مجال civil engineer وهو بعيد عن النطاق التشغيلي لدور Construction.</x:v>
      </x:c>
      <x:c r="M90" t="n">
        <x:v>0</x:v>
      </x:c>
      <x:c r="N90" t="n">
        <x:v>0</x:v>
      </x:c>
    </x:row>
    <x:row r="91">
      <x:c r="A91" t="inlineStr">
        <x:is>
          <x:t xml:space="preserve">RR-090</x:t>
        </x:is>
      </x:c>
      <x:c r="B91" t="inlineStr">
        <x:is>
          <x:t xml:space="preserve">CV-11</x:t>
        </x:is>
      </x:c>
      <x:c r="C91" t="inlineStr">
        <x:is>
          <x:t xml:space="preserve">degree: masters. experience level: senior-level. target role: machine learning engineer. skills: python, data science, data analysis, statistics, deep learning.</x:t>
        </x:is>
      </x:c>
      <x:c r="D91" t="inlineStr">
        <x:is>
          <x:t xml:space="preserve">Data Business Analyst</x:t>
        </x:is>
      </x:c>
      <x:c r="E91" t="inlineStr">
        <x:is>
          <x:t xml:space="preserve">Data Business Analyst 10 Years of Advanced IT Consulting in Enterprise SQL Development, Big Data, Dimensional Modeling Data Profiling, ETL, Frameworks, Notations &amp; Concepts Distributed Systems, RDBMS, Data Formats, Reporting, OLAP •*FOR NON-LOCAL CANDIDATES, POSITION REQUIRES 90+% TRAVEL** vtrIT has a long-term position available in Orange, CA for a Data Business Analyst. Position Description: Specifically, we are looking for a Data Business Analyst, experienced with working in SOA environments, for one of our healthcare clients. Candidates must have extensive Consulting experience, along with experience managing large Data Center migrations. Position Summary: Principal responsibilities for this position include documenting: All Data-related requirements. The requirements for Enterprise Data Standards given by Data Governance and Architects. Duties and Responsibilities: Reviewing and discovering data sources. Performing Data profiling. Optimizing existing PL/SQL scripts and ETL processes to minimize duplication. Performing Dimensional Modeling. Documenting: Data sources, Data types, dependencies and flows. Enterprise Data Standards. Enterprise Data Model, including the Data Dictionary/Metadata Registry. Evaluating new data sources for adherence to the organization's quality standards and ease of integration. Demonstrating expertise in a variety of database, ETL and application concepts, practices and procedures. This is an estimated one-year PLUS contingent / temporary position in Orange, CA, offered through vtrIT , located in Philadelphia, PA. We are among the largest staffing companies in the US for contingent/temporary and direct hire placements and support most of the top-rated companies in the US.</x:t>
        </x:is>
      </x:c>
      <x:c r="F91" t="inlineStr">
        <x:is>
          <x:t xml:space="preserve">Required Skills for this Data Business Analyst position include the following: Bachelor's Degree or higher in Computer Science, Engineering, and/or a related field 10 years of advanced IT experience in large Enterprise environment(s) in a Consulting role 10 years of SQL Development experience Experience working with Big Data technologies (i.e. Hadoop, NoSQL, Casandra, MongoDB) Dimensional Modeling experience Data Profiling experience Strong understanding of ETL (Extract, Transform and Load) methodologies; i.e. Informatica, MS SSIS Skill and experience with Frameworks, Notations &amp; Concepts; i.e. TOGAF, RUP, Agile, MDM, BPMN, UML, SOA Experience with and knowledge of Distributed Systems RDBMS (Oracle, MySQL, SQL Server) Healthcare Domain experience in a provider setting; i.e. Patient, Procedure, Diagnosis, Billing, ED, Outpatient, Inpatient, Acute Care Experience with Data Formats; i.e. CCD, CCR, HL7, SOWNMED, ICD-9/10, HIPAA x12 EDI Reporting (MS SSRS, Business Objects) experience OLAP (Hyperion, SSAS) experience Advanced analytical skills and extreme attention to detail Superior verbal and written communication skills, with ability to lead and facilitate consultative conversations and communicate at the CIO and IT Director levels Able to prioritize effectively and meet strict deadlines while managing multiple, competing tasks Strong team player, able to form functional work relationships with peers and superiors Customer Service orientation with tangible outcomes How to Apply: Please email your resume to vtrIT at: Philadelphia304835@vtrIT.com and reference the following in your subject line to ensure it gets routed to the correct Recruiter to readily discuss this job with you: 304835-9854-12-300553 - Data Business Analyst along with the website name where you saw this posting listed. Our vtrIT Recruiter will initiate a phone call to you and give you immediate consideration should your resume meet the job requirements. Please rest assured that if your resume matches what is reflected in this job posting, you should receive a phone call from a vtrIT Recruiter to discuss this position with you. Great companies rely on vtrIT for the talent to bring their IT projects to life. With vtrIT , you will have access to exclusive positions, leading-edge opportunities, and personalized placement. We offer competitive compensation and benefits. vtrIT is an Equal Opportunity Employer. Visit www.vtrIT.com for more information. Location: Orange, CA Type: CONTRACT Duration: 365+ Days Pay Rate: DOE Contact: vtrIT Philadelphia304835@vtrIT.com 1760 Market St., Ste. 802 Philadelphia, PA 19103 PH: 215/606-6966 FX: 215/561-0360</x:t>
        </x:is>
      </x:c>
      <x:c r="G91" t="inlineStr">
        <x:is>
          <x:t xml:space="preserve">ORANGE</x:t>
        </x:is>
      </x:c>
      <x:c r="H91" t="inlineStr">
        <x:is>
          <x:t xml:space="preserve">CA</x:t>
        </x:is>
      </x:c>
      <x:c r="I91" t="n">
        <x:v>1</x:v>
      </x:c>
      <x:c r="J91" t="str">
        <x:v>الخلفية المهنية قريبة نسبياً وتدعم بعض جوانب العمل في Data Business Analyst، إلا أن بعض المتطلبات تحتاج تدريب إضافي.</x:v>
      </x:c>
      <x:c r="K91" t="n">
        <x:v>1</x:v>
      </x:c>
      <x:c r="L91" t="str">
        <x:v>قبول مشروط: الخلفية المهنية قريبة نسبياً لـ Data Business Analyst، لكن يحتاج لتدريب على المهام الأساسية.</x:v>
      </x:c>
      <x:c r="M91" t="n">
        <x:v>1</x:v>
      </x:c>
      <x:c r="N91" t="n">
        <x:v>1</x:v>
      </x:c>
    </x:row>
    <x:row r="92">
      <x:c r="A92" t="inlineStr">
        <x:is>
          <x:t xml:space="preserve">RR-091</x:t>
        </x:is>
      </x:c>
      <x:c r="B92" t="inlineStr">
        <x:is>
          <x:t xml:space="preserve">CV-15</x:t>
        </x:is>
      </x:c>
      <x:c r="C92" t="inlineStr">
        <x:is>
          <x:t xml:space="preserve">degree: masters. experience level: mid-level. target role: systems analyst. skills: data analysis, systems integration, project management, sql, business process modeling.</x:t>
        </x:is>
      </x:c>
      <x:c r="D92" t="inlineStr">
        <x:is>
          <x:t xml:space="preserve">Seeking an Administrative Assistant / Receptionist</x:t>
        </x:is>
      </x:c>
      <x:c r="E92" t="inlineStr">
        <x:is>
          <x:t xml:space="preserve">A company that specializes in high tech solutions for the apparel industry is currently looking for a Receptionist/Administrative Assistant to work in Midtown Manhattan Responsibilities will include: - Answer all calls and take accurate messages - Schedule and prepare meetings and log client visits. - Handle all outgoing and incoming mail and packages - Order and organize all office supplies - Prepare tracking reports in MS Excel Salary will be commensurate with experience and includes medical benefits.</x:t>
        </x:is>
      </x:c>
      <x:c r="F92" t="inlineStr">
        <x:is>
          <x:t xml:space="preserve">- Minimum 2 years experience as a Receptionist / Administrative Assistant - Excellent written and interpersonal communication skills - Excellent Knowledge of MS Excel</x:t>
        </x:is>
      </x:c>
      <x:c r="G92" t="inlineStr">
        <x:is>
          <x:t xml:space="preserve">NEW YORK</x:t>
        </x:is>
      </x:c>
      <x:c r="H92" t="inlineStr">
        <x:is>
          <x:t xml:space="preserve">NY</x:t>
        </x:is>
      </x:c>
      <x:c r="I92" t="n">
        <x:v>0</x:v>
      </x:c>
      <x:c r="J92" t="str">
        <x:v>المرشح مستهدف العمل كـ systems analyst، بينما الوظيفة المعروضة هي Seeking an Administrative Assistant / Receptionist. الاختلاف كبير في طبيعة المهام والمسار المهني.</x:v>
      </x:c>
      <x:c r="K92" t="n">
        <x:v>0</x:v>
      </x:c>
      <x:c r="L92" t="str">
        <x:v>ملاحظة المراجع الثاني: بعد التدقيق، لا توجد خبرة عمل معتمدة تتناسب مع متطلبات وظيفة Seeking an Administrative Assistant / Receptionist.</x:v>
      </x:c>
      <x:c r="M92" t="n">
        <x:v>0</x:v>
      </x:c>
      <x:c r="N92" t="n">
        <x:v>0</x:v>
      </x:c>
    </x:row>
    <x:row r="93">
      <x:c r="A93" t="inlineStr">
        <x:is>
          <x:t xml:space="preserve">RR-092</x:t>
        </x:is>
      </x:c>
      <x:c r="B93" t="inlineStr">
        <x:is>
          <x:t xml:space="preserve">CV-10</x:t>
        </x:is>
      </x:c>
      <x:c r="C93" t="inlineStr">
        <x:is>
          <x:t xml:space="preserve">degree: phd. experience level: senior-level. target role: urban planner. skills: project management, policy analysis, gis, community engagement, urban development.</x:t>
        </x:is>
      </x:c>
      <x:c r="D93" t="inlineStr">
        <x:is>
          <x:t xml:space="preserve">CONSTRUCTION PROJECT COORDINATOR</x:t>
        </x:is>
      </x:c>
      <x:c r="E93" t="inlineStr">
        <x:is>
          <x:t xml:space="preserve">Construction Project Coordinator Needed for East Valley General Contractor. 5 years general construction experience required. Experience with construction management software preferred, Mesa, AZ resumes@concordinc.com Source - Arizona Republic - Phoenix, AZ</x:t>
        </x:is>
      </x:c>
      <x:c r="F93" t="inlineStr">
        <x:is>
          <x:t xml:space="preserve">Please refer to the Job Description to view the requirements for this job</x:t>
        </x:is>
      </x:c>
      <x:c r="G93" t="inlineStr">
        <x:is>
          <x:t xml:space="preserve">PHOENIX</x:t>
        </x:is>
      </x:c>
      <x:c r="H93" t="inlineStr">
        <x:is>
          <x:t xml:space="preserve">AZ</x:t>
        </x:is>
      </x:c>
      <x:c r="I93" t="n">
        <x:v>1</x:v>
      </x:c>
      <x:c r="J93" t="str">
        <x:v>تقارب جزئي في المهارات العملية، ولكن يحتاج لمراجعة تفصيلية في المقابلة للتأكد من مدى ملاءمته لمهام CONSTRUCTION PROJECT COORDINATOR.</x:v>
      </x:c>
      <x:c r="K93" t="n">
        <x:v>1</x:v>
      </x:c>
      <x:c r="L93" t="str">
        <x:v>وجهة نظر ثانية: الملف يظهر بعض التقارب، لكني أرى ضرورة التأكد من المهارات التخصصية في المقابلة.</x:v>
      </x:c>
      <x:c r="M93" t="n">
        <x:v>1</x:v>
      </x:c>
      <x:c r="N93" t="n">
        <x:v>1</x:v>
      </x:c>
    </x:row>
    <x:row r="94">
      <x:c r="A94" t="inlineStr">
        <x:is>
          <x:t xml:space="preserve">RR-093</x:t>
        </x:is>
      </x:c>
      <x:c r="B94" t="inlineStr">
        <x:is>
          <x:t xml:space="preserve">CV-07</x:t>
        </x:is>
      </x:c>
      <x:c r="C94" t="inlineStr">
        <x:is>
          <x:t xml:space="preserve">degree: bachelors. experience level: senior-level. target role: operations manager. skills: project management, leadership, supply chain management, customer service, risk management.</x:t>
        </x:is>
      </x:c>
      <x:c r="D94" t="inlineStr">
        <x:is>
          <x:t xml:space="preserve">Plant Manager / Operations Manager</x:t>
        </x:is>
      </x:c>
      <x:c r="E94" t="inlineStr">
        <x:is>
          <x:t xml:space="preserve">Plant Manager / Operations Manager Parkway Products is a global leader in custom molding technologies. By combining a broad lineup of processing technologies with design, development and project management services, Parkway creates molded parts solutions for the world's largest OEMs. We offer many opportunities to those who join the Parkway team. With multiple locations throughout the U.S. and an amazing record of growth, many paths to greater success and rewards are ready for you! We are currently seeking qualified individuals to fill our Plant Manager/Operations Manager position. Position Summary: Direct and manage the day-to-day operations of a given facility, assuming overall responsibility for safety, manufacturing, delivery, quality, staffing, customer satisfaction and financial performance. Utilize leadership skills to communicate vision and direction through management team that reaches all levels of plant staff. Establish annual business plans that aim towards improving competitive edge, profitability, and quality. Job Responsibilities: Directs the overall operation of a facility. Establish business plans aimed towards continued quality, safety and cost improvement. Work closely with corporate financial team and plant staff to determine price structure quotation. Oversee management review of quality systems and encourage continues improvement, proactive management and teamwork. Ensure that facility is properly staffed and trained. Chief plant- site executive representing facility to clients, prospects, suppliers and government agencies. Financial decision maker regarding orders accepted, purchase of equipment, tools, materials, and staffing. Bears overall responsibility for housekeeping of facility and safety awareness. Communicate plant financial &amp; operational condition to Corporate as required. Manage the operations cost to enhance profitability while staying within legal guidelines and company policies and procedures. Responsible for the strategy and long term planning of the operations to ensure continued success in meeting customer expectations.</x:t>
        </x:is>
      </x:c>
      <x:c r="F94" t="inlineStr">
        <x:is>
          <x:t xml:space="preserve">Bachelor’s Or equivalent experience 10 years experience in manufacturing environment Experience managing P&amp;L.</x:t>
        </x:is>
      </x:c>
      <x:c r="G94" t="inlineStr">
        <x:is>
          <x:t xml:space="preserve">ATLANTA</x:t>
        </x:is>
      </x:c>
      <x:c r="H94" t="inlineStr">
        <x:is>
          <x:t xml:space="preserve">GA</x:t>
        </x:is>
      </x:c>
      <x:c r="I94" t="n">
        <x:v>2</x:v>
      </x:c>
      <x:c r="J94" t="str">
        <x:v>السيرة الذاتية ممتازة ومطابقة بشكل مباشر لمهام ومتطلبات وظيفة Plant Manager / Operations Manager. يوصى بالترشيح للمقابلة.</x:v>
      </x:c>
      <x:c r="K94" t="n">
        <x:v>2</x:v>
      </x:c>
      <x:c r="L94" t="str">
        <x:v>مرشح قوي: المطابقة عالية ومباشرة لجميع المسؤوليات اليومية المطلوبة.</x:v>
      </x:c>
      <x:c r="M94" t="n">
        <x:v>2</x:v>
      </x:c>
      <x:c r="N94" t="n">
        <x:v>2</x:v>
      </x:c>
    </x:row>
    <x:row r="95">
      <x:c r="A95" t="inlineStr">
        <x:is>
          <x:t xml:space="preserve">RR-094</x:t>
        </x:is>
      </x:c>
      <x:c r="B95" t="inlineStr">
        <x:is>
          <x:t xml:space="preserve">CV-17</x:t>
        </x:is>
      </x:c>
      <x:c r="C95" t="inlineStr">
        <x:is>
          <x:t xml:space="preserve">degree: bachelors. experience level: senior-level. target role: content writer. skills: research, creative writing, blogging, editing, communication.</x:t>
        </x:is>
      </x:c>
      <x:c r="D95" t="inlineStr">
        <x:is>
          <x:t xml:space="preserve">Full Time Entry Level Positions</x:t>
        </x:is>
      </x:c>
      <x:c r="E95" t="inlineStr">
        <x:is>
          <x:t xml:space="preserve">TITAN has recently expanded throughout the ATLANTA area and we have set the goal to expand ten-fold by the middle of this year! We are a rapidly-growing promotional marketing company, applying a customer-friendly, direct, results-driven approach to our marketing research and sales. Because of our proven success and expertise, we continue to obtain new clientele as we dramatically increase our clients' product exposure, sales and brand recognition. That breaks down to: Increased profitability for them = Increased profitability for you. We realize that positions are becoming available quickly as we continue to grow... and we need to fill them QUICKLY . Availability includes: Advertising &amp; Brand Exposure Marketing &amp; Account Satisfaction Sales Techniques Assistant Management Positions are all full time and are available immediately for the right candidate(s)! In return, our company offers: A great team-based atmosphere Outstanding growth &amp; advancement opportunities Travel opportunities Bonuses, pay &amp; promotions based upon performance...not seniority Continuing and progressive training to provide you with the knowledge to advance and succeed in your position</x:t>
        </x:is>
      </x:c>
      <x:c r="F95" t="inlineStr">
        <x:is>
          <x:t xml:space="preserve">The right candidate(s) must have the following: Excellent work ethic Strong student mentality A drive for success The ability to work successfully in a friendly, collaborative team environment Self-motivation A desire for growth and advancement in a fast-moving entrepreneurial culture If you feel you may be the ideal candidate for this position, please email your resume. We understand that sometimes looking for a new career can be a double-edged sword when you don't have the right experience, too much experience, or even none at all. If you are a college graduate, or simply looking for a change of pace from your current situation, please do not hesitate to submit your resume! We appreciate a diverse environment, and provide training for those candidates with the right attitude and the willingness to learn! ** NO ATTACHMENTS, PLEASE! ** Simply cut and paste your resume and email it to Titan.hrdept@gmail.com Career Builder related words: Sales, Customer Service, Manager, Management, Manage, Marketing, Accounting, Management, Administrative, Administrative Assistant, Human Resources, Receptionist, Entry Level, Customer Service, Assistant, Advertising, Supervisor, Public Relations, Admin, Training, Human Resources, Office Manager, General, Executive, Vice President, Sales, Manager, All, Recruiter, Entrepreneur, PR, P.R., Advertising, Corporate, President, Internship, Administration, Entry-Level, College Graduate, Recent College Grad, Recent High School Graduate, Recent High-School Graduate, Recent High School Grad, Marketing Management, Entry</x:t>
        </x:is>
      </x:c>
      <x:c r="G95" t="inlineStr">
        <x:is>
          <x:t xml:space="preserve">ATLANTA</x:t>
        </x:is>
      </x:c>
      <x:c r="H95" t="inlineStr">
        <x:is>
          <x:t xml:space="preserve">GA</x:t>
        </x:is>
      </x:c>
      <x:c r="I95" t="n">
        <x:v>0</x:v>
      </x:c>
      <x:c r="J95" t="str">
        <x:v>المرشح غير مناسب لشاغر Full Time Entry Level Positions؛ توجهه المهني والمهارات المذكورة تنحصر في تخصص content writer.</x:v>
      </x:c>
      <x:c r="K95" t="n">
        <x:v>0</x:v>
      </x:c>
      <x:c r="L95" t="str">
        <x:v>ملاحظة المراجع الثاني: بعد التدقيق، لا توجد خبرة عمل معتمدة تتناسب مع متطلبات وظيفة Full Time Entry Level Positions.</x:v>
      </x:c>
      <x:c r="M95" t="n">
        <x:v>0</x:v>
      </x:c>
      <x:c r="N95" t="n">
        <x:v>0</x:v>
      </x:c>
    </x:row>
    <x:row r="96">
      <x:c r="A96" t="inlineStr">
        <x:is>
          <x:t xml:space="preserve">RR-095</x:t>
        </x:is>
      </x:c>
      <x:c r="B96" t="inlineStr">
        <x:is>
          <x:t xml:space="preserve">CV-04</x:t>
        </x:is>
      </x:c>
      <x:c r="C96" t="inlineStr">
        <x:is>
          <x:t xml:space="preserve">degree: masters. experience level: senior-level. target role: supply chain manager. skills: budgeting, supply chain optimization, risk management, logistics, project management.</x:t>
        </x:is>
      </x:c>
      <x:c r="D96" t="inlineStr">
        <x:is>
          <x:t xml:space="preserve">Supply Chain Analyst</x:t>
        </x:is>
      </x:c>
      <x:c r="E96" t="inlineStr">
        <x:is>
          <x:t xml:space="preserve">Position Overview: A supply chain role that will oversee the Demand Planning and forecasting requirements process. This is a hands-on position responsible for developing and executing Demand and inventory plans that will enable Griffith Laboratories to meet sales and service objectives. Collaboration with other members of the supply chain, sales, and customer service team is paramount to achieve these sales and service objectives. Essential Duties and Responsibilities: Generate statistical forecasts Continuously improving forecasting techniques, method, and approach Relating and measuring the impact of forecast accuracy Evolving and maintaining documentation and standard operating procedures for demand planning processes and systems. Conduct current and future forecasting analysis, insuring forecasting processes and methods are followed. Assemble and analyze all data pertinent to creating the sales forecast (historical sales, market trends, seasonality, and promotions) Establish and utilize best methods (statistical models and software tools) in creating forecasts and respective inventory targets. Make recommended adjustments to forecast and inventory targets based on changes in demand and market trends. Lead forecast and inventory planning meetings with Inventory Managers, reviewing recommended sales forecasts and inventory goals (emphasis on item phase-in/phase-out, new product introduction, and promotions). Manage inventory targets (including safety stock levels) that are approved by management. Prepare, report, and communicate forecast and inventory measurements to management (forecast accuracy, inventory plan vs. targets). Monitor SKU levels and recommend SKU rationalization initiatives in the future</x:t>
        </x:is>
      </x:c>
      <x:c r="F96" t="inlineStr">
        <x:is>
          <x:t xml:space="preserve">Experience: 4 year Bachelor’s Degree from an accredited institution in Supply Chain or other business related field 3-5 years related planning experience Strong analytical skills PC literacy to include advanced skills with Microsoft Office products. Strong proficiency in Excel, Access, and other analytical tools. Presentation development and presentation skills required. Background in sales forecasting, production scheduling, material planning or related field. Must have a good working knowledge of mathematics and statistics Strong written and oral communication, interpersonal and organizational skills.</x:t>
        </x:is>
      </x:c>
      <x:c r="G96" t="inlineStr">
        <x:is>
          <x:t xml:space="preserve">ALSIP</x:t>
        </x:is>
      </x:c>
      <x:c r="H96" t="inlineStr">
        <x:is>
          <x:t xml:space="preserve">IL</x:t>
        </x:is>
      </x:c>
      <x:c r="I96" t="n">
        <x:v>2</x:v>
      </x:c>
      <x:c r="J96" t="str">
        <x:v>خبرات المرشح كـ supply chain manager والمهارات المذكورة تغطي كافة الجوانب الأساسية المطلوبة لدور Supply Chain Analyst.</x:v>
      </x:c>
      <x:c r="K96" t="n">
        <x:v>2</x:v>
      </x:c>
      <x:c r="L96" t="str">
        <x:v>تقييم ممتاز: السيرة الذاتية تفي بجميع الشروط وتظهر خبرة متقدمة في مجال Supply Chain Analyst.</x:v>
      </x:c>
      <x:c r="M96" t="n">
        <x:v>2</x:v>
      </x:c>
      <x:c r="N96" t="n">
        <x:v>2</x:v>
      </x:c>
    </x:row>
    <x:row r="97">
      <x:c r="A97" t="inlineStr">
        <x:is>
          <x:t xml:space="preserve">RR-096</x:t>
        </x:is>
      </x:c>
      <x:c r="B97" t="inlineStr">
        <x:is>
          <x:t xml:space="preserve">CV-06</x:t>
        </x:is>
      </x:c>
      <x:c r="C97" t="inlineStr">
        <x:is>
          <x:t xml:space="preserve">degree: phd. experience level: mid-level. target role: architect. skills: 3d modeling, project management, sustainable design, construction management, urban planning.</x:t>
        </x:is>
      </x:c>
      <x:c r="D97" t="inlineStr">
        <x:is>
          <x:t xml:space="preserve">Customer Relationship Manager</x:t>
        </x:is>
      </x:c>
      <x:c r="E97" t="inlineStr">
        <x:is>
          <x:t xml:space="preserve">PURPOSE OF THE JOB: Responsible for managing field commercial operations activities at accounts in North America. Improve communications with our customer’s procurement, supply chain, logistics and operations teams in order to exceed customer expectations. Increase efficiencies across forecast accuracy, order management, logistics, promotions/graphics changes, and new product launch support. Align customer regional leadership teams with Rexam operations to respond quickly to customer needs and drive mutual value. Key Accountabilities: Develop relationships with customers supply chain groups. Provide improved service levels by increasing communication and reducing response time. Understand and meet customer’s supply chain expectations via collaboration with Rexam resources. Understand Rexam supply plans, package initiatives and approach to the market ensuring accurate and effective communication with customers. Lead forecasting efforts to deliver accurate information to improve Rexam efficiency and service customer needs. Identify and deliver opportunities for operational efficiency and cost reductions in the field. Responsible for managing customer relationships in a geographic zone, providing commercial support to Rexam Ops to filler relationships, via Partnership meetings. Provide field information to Key Account Managers and support their customer initiatives.</x:t>
        </x:is>
      </x:c>
      <x:c r="F97" t="inlineStr">
        <x:is>
          <x:t xml:space="preserve">KNOWLEDGE/SKILLS/EXPERIENCE: A 6-10 year history of successful account / customer management, with a passion for meeting customer expectations. Ability to develop strong customer relationships with mid to high level business partners. A background in the business to business sector, with experience in fast-moving consumer goods, or services. Experience in managing multiple and complex business relationships. Ability to influence and lead in a matrix management structure environment. Demonstrates high intellect, strong interpersonal skills, integrity and potential for increased responsibility. Expectation of frequent overnight travel within a geographic region. An independent, ambitious, and energetic individual who is looking to make a positive Rexam experience for customers. Strongly aligned with Rexam values of Trust, Recognition, Teamwork and Continuous Improvement.</x:t>
        </x:is>
      </x:c>
      <x:c r="G97" t="inlineStr">
        <x:is>
          <x:t xml:space="preserve">KENT</x:t>
        </x:is>
      </x:c>
      <x:c r="H97" t="inlineStr">
        <x:is>
          <x:t xml:space="preserve">WA</x:t>
        </x:is>
      </x:c>
      <x:c r="I97" t="n">
        <x:v>0</x:v>
      </x:c>
      <x:c r="J97" t="str">
        <x:v>المرشح مستهدف العمل كـ architect، بينما الوظيفة المعروضة هي Customer Relationship Manager. الاختلاف كبير في طبيعة المهام والمسار المهني.</x:v>
      </x:c>
      <x:c r="K97" t="n">
        <x:v>0</x:v>
      </x:c>
      <x:c r="L97" t="str">
        <x:v>استبعاد: الفجوة كبيرة في المهارات بين التخصص المستهدف (architect) والمسؤوليات المحددة لـ Customer Relationship Manager.</x:v>
      </x:c>
      <x:c r="M97" t="n">
        <x:v>0</x:v>
      </x:c>
      <x:c r="N97" t="n">
        <x:v>0</x:v>
      </x:c>
    </x:row>
    <x:row r="98">
      <x:c r="A98" t="inlineStr">
        <x:is>
          <x:t xml:space="preserve">RR-097</x:t>
        </x:is>
      </x:c>
      <x:c r="B98" t="inlineStr">
        <x:is>
          <x:t xml:space="preserve">CV-23</x:t>
        </x:is>
      </x:c>
      <x:c r="C98" t="inlineStr">
        <x:is>
          <x:t xml:space="preserve">degree: phd. experience level: senior-level. target role: civil engineer. skills: materials testing, risk assessment, structural design, soil mechanics, construction management.</x:t>
        </x:is>
      </x:c>
      <x:c r="D98" t="inlineStr">
        <x:is>
          <x:t xml:space="preserve">Administrative Construction Project Manager</x:t>
        </x:is>
      </x:c>
      <x:c r="E98" t="inlineStr">
        <x:is>
          <x:t xml:space="preserve">Description ENTACT, LLC has an immediate opening for Administrative Project Manager at our Jacksonville, Florida project site. Working closely with field project management and the Health and Safety team this position includes project planning, e estimating, financial tracking, scheduling, procurement/vendor coordination, forecasting, invoicing, reporting, customer communication, and various other administrative tasks related to the proper and timely execution of ENTACT projects. Typical job responsibilities include: Negotiate and Procure all job related materials and equipment Prepare purchase orders for all rented equipment Rent hotels/apartments/condominiums for field personnel Submit for approval subcontracts from vendors Pay all related per diems to field associates Approve for payment all job related invoices Update weekly resource log Prepare project financial forecast with Project Manager Coordinating monthly invoice for client Attend morning and afternoon safety meetings Assist with the needs of the Project Manager Utilize and promote “Stop Work Authority" Conduct Job Task Observations (JTO) Help maintain a work friendly environment</x:t>
        </x:is>
      </x:c>
      <x:c r="F98" t="inlineStr">
        <x:is>
          <x:t xml:space="preserve">Qualifications: Undergraduate business/accounting degree OR equivalent degree/work experience in the environmental construction arena required. Strong computer skills especially Excel a must. Must be able to freely access all points of construction site in wide-ranging climates and environment. Behavior based safety knowledge and experience a plus. Must be HAZWOPER 40-hour qualified or able to pass HAZWOPER course. In addition, candidates should be able to demonstrate: Effective written and verbal communication skills, strong organization and time management skills, strong work ethic; willing to do what it takes to get the job done. The ability to work independently as well as part of a team. Must be able to meet deadlines and contribute to a positive, safe, high-quality culture in a fast-paced environment. Company Summary ENTACT is a direct performer of field remediation and construction services. Our unique group of talented individuals creates and implements environmental solutions for our clients at their active facilities and dormant properties. ENTACT was founded over twenty years ago on the belief that safety, technical excellence, field expertise, and sound business practices are all necessary to deliver outstanding service. Today, we are recognized as a premier provider of environmental services – capable of successfully addressing our clients' most challenging projects. ENTACT has 9 regional offices located in Charleston, Chicago, Dallas, Denver, Houston, Philadelphia, Pittsburgh, Boston, and San Francisco. We offer an excellent compensation package including a team sharing bonus, health plan, 401(k), and much more. Please send your resume to careers @ entact.com or by fax to 630 - 986 - 5211 Attn: Human Resources. Visit us on the web! www.entact.com EOE</x:t>
        </x:is>
      </x:c>
      <x:c r="G98" t="inlineStr">
        <x:is>
          <x:t xml:space="preserve">JACKSONVILLE</x:t>
        </x:is>
      </x:c>
      <x:c r="H98" t="inlineStr">
        <x:is>
          <x:t xml:space="preserve">FL</x:t>
        </x:is>
      </x:c>
      <x:c r="I98" t="n">
        <x:v>1</x:v>
      </x:c>
      <x:c r="J98" t="str">
        <x:v>توجد مهارات إدارية وتنظيمية مشتركة مع دور Administrative Construction Project Manager، لكن المرشح ينقصه التخصص المباشر والخبرة الفنية الدقيقة.</x:v>
      </x:c>
      <x:c r="K98" t="n">
        <x:v>1</x:v>
      </x:c>
      <x:c r="L98" t="str">
        <x:v>تقييم مستقل: توجد مهارات عامة يمكن الاستفادة منها، ولكن التأهيل غير مكتمل لوظيفة Administrative Construction Project Manager.</x:v>
      </x:c>
      <x:c r="M98" t="n">
        <x:v>1</x:v>
      </x:c>
      <x:c r="N98" t="n">
        <x:v>1</x:v>
      </x:c>
    </x:row>
    <x:row r="99">
      <x:c r="A99" t="inlineStr">
        <x:is>
          <x:t xml:space="preserve">RR-098</x:t>
        </x:is>
      </x:c>
      <x:c r="B99" t="inlineStr">
        <x:is>
          <x:t xml:space="preserve">CV-23</x:t>
        </x:is>
      </x:c>
      <x:c r="C99" t="inlineStr">
        <x:is>
          <x:t xml:space="preserve">degree: phd. experience level: senior-level. target role: civil engineer. skills: materials testing, risk assessment, structural design, soil mechanics, construction management.</x:t>
        </x:is>
      </x:c>
      <x:c r="D99" t="inlineStr">
        <x:is>
          <x:t xml:space="preserve">Building Maintenance Engineer</x:t>
        </x:is>
      </x:c>
      <x:c r="E99" t="inlineStr">
        <x:is>
          <x:t xml:space="preserve">A commercial property management firm in Davie, Florida is seeking a Building Engineer to perform building maintenance and assist in the oversight of building operations for a 100,000 sqft commercial property. The position reports directly to the Property Manager.</x:t>
        </x:is>
      </x:c>
      <x:c r="F99" t="inlineStr">
        <x:is>
          <x:t xml:space="preserve">The candidate should possess: 5+ years demonstrated experience in the field of commercial building operations Some experience with major equipment, including cooling towers, pumps, air handlers, water treatment and related equipment Some knowledge of electrical and plumbing systems Must be able to work in a team environment and must possess good written and verbal communication skills Must be able to deal professionally with building tenants and vendors Ability to oversee and coordinate construction and capital improvement projects Must be a hands-on individual; candidate will be required to perform general maintenance and repairs to the building and property including painting, light bulb and air filter replacements, etc. Basic computer and email proficiency Pay will be commensurate with experience, education and skill levels. Please submit your resume and/or cover letter including salary requirements to: engposition001@gmail.com. Equal Opportunity Employer</x:t>
        </x:is>
      </x:c>
      <x:c r="G99" t="inlineStr">
        <x:is>
          <x:t xml:space="preserve">DAVIE</x:t>
        </x:is>
      </x:c>
      <x:c r="H99" t="inlineStr">
        <x:is>
          <x:t xml:space="preserve">FL</x:t>
        </x:is>
      </x:c>
      <x:c r="I99" t="n">
        <x:v>1</x:v>
      </x:c>
      <x:c r="J99" t="str">
        <x:v>الخلفية المهنية قريبة نسبياً وتدعم بعض جوانب العمل في Building Maintenance Engineer، إلا أن بعض المتطلبات تحتاج تدريب إضافي.</x:v>
      </x:c>
      <x:c r="K99" t="n">
        <x:v>1</x:v>
      </x:c>
      <x:c r="L99" t="str">
        <x:v>وجهة نظر ثانية: الملف يظهر بعض التقارب، لكني أرى ضرورة التأكد من المهارات التخصصية في المقابلة.</x:v>
      </x:c>
      <x:c r="M99" t="n">
        <x:v>1</x:v>
      </x:c>
      <x:c r="N99" t="n">
        <x:v>1</x:v>
      </x:c>
    </x:row>
    <x:row r="100">
      <x:c r="A100" t="inlineStr">
        <x:is>
          <x:t xml:space="preserve">RR-099</x:t>
        </x:is>
      </x:c>
      <x:c r="B100" t="inlineStr">
        <x:is>
          <x:t xml:space="preserve">CV-04</x:t>
        </x:is>
      </x:c>
      <x:c r="C100" t="inlineStr">
        <x:is>
          <x:t xml:space="preserve">degree: masters. experience level: senior-level. target role: supply chain manager. skills: budgeting, supply chain optimization, risk management, logistics, project management.</x:t>
        </x:is>
      </x:c>
      <x:c r="D100" t="inlineStr">
        <x:is>
          <x:t xml:space="preserve">Plant Supply Chain and Logistics Manager</x:t>
        </x:is>
      </x:c>
      <x:c r="E100" t="inlineStr">
        <x:is>
          <x:t xml:space="preserve">The Plant Supply Chain and Logistics Manager manages all flows, physical and information related to the achievement of products from suppliers to customers in meeting deadlines, quantities, cost and quality requirements, and manages purchasing of services, equipment and services, critical or not meeting the needs of internal customers. Drives and organizes all activities under its responsibility: planning, work organization, definition and monitoring of the operating budget, monitoring and reporting. Process owner for S&amp;OP (Sales and Operational Planning Process) for the BG site. Ensures the matching of skills and business objectives: determine its recruitment needs, values ​​its employees, and develops the training plan, pilot training and integration of new employees in his department. Deploy the quality policy to its employees: ensuring understanding and compliance with customer requirements with production teams, ensures the application of rules and procedures. Analyzes customer needs and participates in the planning of the manufacturing activity in collaboration with Operations. Coordinates research providers, the panel approves, advice and guidance to various departments in the selection of suppliers and products. Participates in the development of the annual budget of the company to define material requirements, transport and logistics workforce. Deploys Safety and Environment policies to its employees: prevents accidents, preserve the environment through better control of consumption and waste. Promote continuous improvement in its service. Track and achieve key KPIs</x:t>
        </x:is>
      </x:c>
      <x:c r="F100" t="inlineStr">
        <x:is>
          <x:t xml:space="preserve">SAP knowledge especially PP and WM modules Professional with at least 4-6 years experience in a manufacturing environment specifically in Supply chain supervision. Minimum of a Bachelors Degree required. CPIM or CPM certification preferred. Experience with visual management, kanban, VMI &amp; consignment processes Possesses well-developed communication and interpersonal skills. Carries out responsibilities in accordance with the organization’s policies and applicable laws. Responsibilities include but are not limited to the following: interviewing, hiring, training, directing, coaching, rewarding and disciplining, developing an ongoing performance plan and appraising the performance of all direct reports. Addresses employee inquiries, complaints and resolves problems by using appropriate resources/other departments to achieve results/answers. Sets / communicates clear expectations and holds personnel accountable for attaining those standards. Presents a professional attitude and handles confidential information according to non-disclosure guidelines. Ability to work in a high paced and multi-task environment. Possesses high ethical standards and ability to maintain confidentiality. Excellent verbal and written communication skills. Demonstrates organizational skills, is very detail oriented, and can effectively prioritize time. Ability to interact professionally with internal and external customers. Self-motivated and able to work with minimal supervision. Maintains a team environment with co-workers to work together in the most efficient manner by embracing innovative change effectively as well as mitigating team conflict and communication problems. Demonstrates ability to speak effectively in front of groups and give professional presentations. Demonstrated capacity to work with SAP, Microsoft Office Products, Outlook, and other critical computer applications.</x:t>
        </x:is>
      </x:c>
      <x:c r="G100" t="inlineStr">
        <x:is>
          <x:t xml:space="preserve">BUFFALO GROVE</x:t>
        </x:is>
      </x:c>
      <x:c r="H100" t="inlineStr">
        <x:is>
          <x:t xml:space="preserve">IL</x:t>
        </x:is>
      </x:c>
      <x:c r="I100" t="n">
        <x:v>2</x:v>
      </x:c>
      <x:c r="J100" t="str">
        <x:v>خبرات المرشح كـ supply chain manager والمهارات المذكورة تغطي كافة الجوانب الأساسية المطلوبة لدور Plant Supply Chain and Logistics Manager.</x:v>
      </x:c>
      <x:c r="K100" t="n">
        <x:v>2</x:v>
      </x:c>
      <x:c r="L100" t="str">
        <x:v>مرشح قوي: المطابقة عالية ومباشرة لجميع المسؤوليات اليومية المطلوبة.</x:v>
      </x:c>
      <x:c r="M100" t="n">
        <x:v>2</x:v>
      </x:c>
      <x:c r="N100" t="n">
        <x:v>2</x:v>
      </x:c>
    </x:row>
    <x:row r="101">
      <x:c r="A101" t="inlineStr">
        <x:is>
          <x:t xml:space="preserve">RR-100</x:t>
        </x:is>
      </x:c>
      <x:c r="B101" t="inlineStr">
        <x:is>
          <x:t xml:space="preserve">CV-04</x:t>
        </x:is>
      </x:c>
      <x:c r="C101" t="inlineStr">
        <x:is>
          <x:t xml:space="preserve">degree: masters. experience level: senior-level. target role: supply chain manager. skills: budgeting, supply chain optimization, risk management, logistics, project management.</x:t>
        </x:is>
      </x:c>
      <x:c r="D101" t="inlineStr">
        <x:is>
          <x:t xml:space="preserve">Planner - Supply Chain Strategic and Project - Chicago, IL (Tech</x:t>
        </x:is>
      </x:c>
      <x:c r="E101" t="inlineStr">
        <x:is>
          <x:t xml:space="preserve">Now taking off: Your career. Where do you want your career to take you? Chances are, you can get there with United Airlines. Our environment is open, honest, and focused on your success. So choose a career path. And rediscover what it's like to enjoy your job. Equal Opportunity Employer by Choice. Travel subject to service charges/restrictions. Bonuses awarded only under terms of United's plans/policies. NO AGENCIES PLEASE Overview Planning, coordination and disposition of project material in support of internal/external customers and OSV maintenance activity. Develop and execute supply chain strategies aimed at optimizing inventory and alternatives to ownership. The planner position is responsible for specific aircraft projects and strategic alternatives to ownership. Using a variety of highly specialized models, the planner establishes and implements the overall ownership and schedule for United's project inventory. This position requires the coordination of material flows to aircraft modification projects and establishes the inventory plan to meet the aircraft modification schedule. Monitors and reports statistics so that financial commitments are met. The planner will ensure strict monitoring of expenditures related to project material. The planner is required to use continuous improvement tools and techniques to ensure the business improvement. Works closely with Procurement and other departments to analyze and develop strategic partnerships, alliances and ensure project material availability. Responsibilities Initiative Analysis of Strategic Supply Chain Projects Provide decision making direction in support of comprehensive enterprise initiatives Partnering with inter and intra departmental stakeholders to obtain accurate information and analysis validation Alignment of assigned processes to division and corporate goals Project Material Coordination Ensures Project Material Optimization through cross organizational coordination Coordinates material flow between suppliers and internal customers to meet project schedule Develop initial material plan and allocations that support modified aircraft and systems Partner with Technical Procurement to ensure project material meets schedule Responsible to develop material schedule Establish and Coordinate Kit Delivery Schedule Create stock items and plan Business Process Management Reports process performance and identifies gaps for process improvement opportunities Use continuous improvement tools and techniques to eliminate performance gaps and optimize process Maintain material availability visibility throughout the scope of the project Inventory Level Inventory Productivity Service Level Performance Material Cost Reductions Quality Assurance Compliance Inventory Productivity Safety</x:t>
        </x:is>
      </x:c>
      <x:c r="F101" t="inlineStr">
        <x:is>
          <x:t xml:space="preserve">Education Bachelor Degree in Aviation Management, Engineering, Business or related field, or equivalent work experience required MBA or other related advanced degree preferred Certification Lean Six Sigma Green/Black Belt preferred Knowledge/Skills Comprehensive understanding of Supply Chain required Strong teamwork and communication skills required Statistical Analysis and Process Control (SPC) required Self Motivated Engrained Continuous Improvement experience required Formal Lean Six Sigma/Continuous Improvement methodologies preferred Experience Minimum 10 years experience in fields of the Supply Chain, Airline or Manufacturing Industry at a senior level required Minimum 5 years experience in managing modification projects material required Airline, aviation, or Original Equipment Manufacturer (OEM) experience preferred Other Regular attendance and punctuality in accordance with United's policies is required Must be legally authorized to work in the US for any employer without sponsorship IND123</x:t>
        </x:is>
      </x:c>
      <x:c r="G101" t="inlineStr">
        <x:is>
          <x:t xml:space="preserve">CHICAGO</x:t>
        </x:is>
      </x:c>
      <x:c r="H101" t="inlineStr">
        <x:is>
          <x:t xml:space="preserve">IL</x:t>
        </x:is>
      </x:c>
      <x:c r="I101" t="n">
        <x:v>2</x:v>
      </x:c>
      <x:c r="J101" t="str">
        <x:v>مرشح قوي وجاهز للقيام بمهام Planner - Supply Chain Strategic and Project - Chicago, IL (Tech بناءً على الخلفية المهنية المعروضة.</x:v>
      </x:c>
      <x:c r="K101" t="n">
        <x:v>2</x:v>
      </x:c>
      <x:c r="L101" t="str">
        <x:v>توصية بالمقابلة: المهارات والمؤهلات تتوافق تماماً مع الوصف الوظيفي لـ Planner - Supply Chain Strategic and Project - Chicago, IL (Tech.</x:v>
      </x:c>
      <x:c r="M101" t="n">
        <x:v>2</x:v>
      </x:c>
      <x:c r="N101" t="n">
        <x:v>2</x:v>
      </x:c>
    </x:row>
    <x:row r="102">
      <x:c r="A102" t="inlineStr">
        <x:is>
          <x:t xml:space="preserve">RR-101</x:t>
        </x:is>
      </x:c>
      <x:c r="B102" t="inlineStr">
        <x:is>
          <x:t xml:space="preserve">CV-22</x:t>
        </x:is>
      </x:c>
      <x:c r="C102" t="inlineStr">
        <x:is>
          <x:t xml:space="preserve">degree: bachelors. experience level: senior-level. target role: psychologist. skills: clinical skills, therapy, cognitive behavioral therapy, psychopathology, mental health.</x:t>
        </x:is>
      </x:c>
      <x:c r="D102" t="inlineStr">
        <x:is>
          <x:t xml:space="preserve">CUSTOMER SERVICE</x:t>
        </x:is>
      </x:c>
      <x:c r="E102" t="inlineStr">
        <x:is>
          <x:t xml:space="preserve">We are a large outlet for a world wide appliance manufacturing company in DFW and we have immediate openings in our Customer Relations Department . The position is full time with a salary of $2,800 per month to start and has a competitive benefits package. This position requires an immediate start date. Our Company offers *Full Company Training *Great Base Salary *Benefits *Paid vacation *Advancement *Profit Sharing Requirements Must have 1 year of customer service experience and be able to start right immediately. The right candidate must also be able to pass a criminal background check with no felony convictions. For more info and to apply on-line, go to : http://www.cleanairtechjobs.com entry level, experience, career, career opportunity, advancement, retail manager, marketing, advertising, advertising representative, advertising rep., customer service, customer relations, customer service representative, customer service rep., customer sales, customer sales representative, customer sales rep., full time, full time work, full time job, full time jobs, full time positions, part time, part time work, part time job, part time jobs, part time positions, sales, salesman, sales person, sales representative, sales rep., selling, inside sales, outside sales, personal sales, account executive, account exec., account representative, account rep., temporary, temporary work, temporary job, university, university students, student, college, college students, summer, summer job, summer jobs, summer help, summer, Dallas, Denton, lewisville, Gainesville, Frisco, Plano, Mc Kinney, Lake Dallas, Highland Village, Flower mound, Carrolton, Richardson, Irving, Prosper, Aubrey, krugerville, garland, Grand prairie, Mesquite, Wiley, Collin County, Celina, Little Elm, Arlington, Murphey, Coppell, Tarrant County,Lavon, Requirements Must have 1 year prior customer service history to start.</x:t>
        </x:is>
      </x:c>
      <x:c r="F102" t="inlineStr">
        <x:is>
          <x:t xml:space="preserve">Must be able to start immediately and have no felony background.</x:t>
        </x:is>
      </x:c>
      <x:c r="G102" t="inlineStr">
        <x:is>
          <x:t xml:space="preserve">LEWISVILLE</x:t>
        </x:is>
      </x:c>
      <x:c r="H102" t="inlineStr">
        <x:is>
          <x:t xml:space="preserve">TX</x:t>
        </x:is>
      </x:c>
      <x:c r="I102" t="n">
        <x:v>0</x:v>
      </x:c>
      <x:c r="J102" t="str">
        <x:v>المرشح مستهدف العمل كـ psychologist، بينما الوظيفة المعروضة هي CUSTOMER SERVICE. الاختلاف كبير في طبيعة المهام والمسار المهني.</x:v>
      </x:c>
      <x:c r="K102" t="n">
        <x:v>0</x:v>
      </x:c>
      <x:c r="L102" t="str">
        <x:v>تقييم مستقل: المرشح مركز تماماً على مجال psychologist وهو بعيد عن النطاق التشغيلي لدور CUSTOMER SERVICE.</x:v>
      </x:c>
      <x:c r="M102" t="n">
        <x:v>0</x:v>
      </x:c>
      <x:c r="N102" t="n">
        <x:v>0</x:v>
      </x:c>
    </x:row>
    <x:row r="103">
      <x:c r="A103" t="inlineStr">
        <x:is>
          <x:t xml:space="preserve">RR-102</x:t>
        </x:is>
      </x:c>
      <x:c r="B103" t="inlineStr">
        <x:is>
          <x:t xml:space="preserve">CV-13</x:t>
        </x:is>
      </x:c>
      <x:c r="C103" t="inlineStr">
        <x:is>
          <x:t xml:space="preserve">degree: bachelors. experience level: senior-level. target role: biomedical engineer. skills: clinical trials, medical devices, engineering, research, regulatory compliance.</x:t>
        </x:is>
      </x:c>
      <x:c r="D103" t="inlineStr">
        <x:is>
          <x:t xml:space="preserve">Medical Asst</x:t>
        </x:is>
      </x:c>
      <x:c r="E103" t="inlineStr">
        <x:is>
          <x:t xml:space="preserve">Looking for experience certified medical asst. For Busy Family Practice office in South Miami. Source - Miami Herald</x:t>
        </x:is>
      </x:c>
      <x:c r="F103" t="inlineStr">
        <x:is>
          <x:t xml:space="preserve">Please refer to the Job Description to view the requirements for this job</x:t>
        </x:is>
      </x:c>
      <x:c r="G103" t="inlineStr">
        <x:is>
          <x:t xml:space="preserve">MIAMI</x:t>
        </x:is>
      </x:c>
      <x:c r="H103" t="inlineStr">
        <x:is>
          <x:t xml:space="preserve">FL</x:t>
        </x:is>
      </x:c>
      <x:c r="I103" t="n">
        <x:v>0</x:v>
      </x:c>
      <x:c r="J103" t="str">
        <x:v>عدم مطابقة: خبرات المرشح موجهة نحو biomedical engineer، وهي بعيدة عن متطلبات دور Medical Asst.</x:v>
      </x:c>
      <x:c r="K103" t="n">
        <x:v>1</x:v>
      </x:c>
      <x:c r="L103" t="str">
        <x:v>قبول مشروط: الخلفية المهنية قريبة نسبياً لـ Medical Asst، لكن يحتاج لتدريب على المهام الأساسية.</x:v>
      </x:c>
      <x:c r="M103" t="n">
        <x:v>0</x:v>
      </x:c>
      <x:c r="N103" t="n">
        <x:v>0</x:v>
      </x:c>
    </x:row>
    <x:row r="104">
      <x:c r="A104" t="inlineStr">
        <x:is>
          <x:t xml:space="preserve">RR-103</x:t>
        </x:is>
      </x:c>
      <x:c r="B104" t="inlineStr">
        <x:is>
          <x:t xml:space="preserve">CV-13</x:t>
        </x:is>
      </x:c>
      <x:c r="C104" t="inlineStr">
        <x:is>
          <x:t xml:space="preserve">degree: bachelors. experience level: senior-level. target role: biomedical engineer. skills: clinical trials, medical devices, engineering, research, regulatory compliance.</x:t>
        </x:is>
      </x:c>
      <x:c r="D104" t="inlineStr">
        <x:is>
          <x:t xml:space="preserve">medical front/medical assistant</x:t>
        </x:is>
      </x:c>
      <x:c r="E104" t="inlineStr">
        <x:is>
          <x:t xml:space="preserve">We are looking for expereince medical front desk/ medical billing. medical assistant ,NMB/midtown'design district area. eng/spa. fax resume 305 654-0560 Source - Miami Herald</x:t>
        </x:is>
      </x:c>
      <x:c r="F104" t="inlineStr">
        <x:is>
          <x:t xml:space="preserve">Please refer to the Job Description to view the requirements for this job</x:t>
        </x:is>
      </x:c>
      <x:c r="G104" t="inlineStr">
        <x:is>
          <x:t xml:space="preserve">MIAMI</x:t>
        </x:is>
      </x:c>
      <x:c r="H104" t="inlineStr">
        <x:is>
          <x:t xml:space="preserve">FL</x:t>
        </x:is>
      </x:c>
      <x:c r="I104" t="n">
        <x:v>0</x:v>
      </x:c>
      <x:c r="J104" t="str">
        <x:v>المؤهلات في السيرة الذاتية تخص مجالات biomedical engineer فقط، ولا توجد خبرة سابقة في مسؤوليات medical front/medical assistant.</x:v>
      </x:c>
      <x:c r="K104" t="n">
        <x:v>0</x:v>
      </x:c>
      <x:c r="L104" t="str">
        <x:v>ملاحظة المراجع الثاني: بعد التدقيق، لا توجد خبرة عمل معتمدة تتناسب مع متطلبات وظيفة medical front/medical assistant.</x:v>
      </x:c>
      <x:c r="M104" t="n">
        <x:v>0</x:v>
      </x:c>
      <x:c r="N104" t="n">
        <x:v>0</x:v>
      </x:c>
    </x:row>
    <x:row r="105">
      <x:c r="A105" t="inlineStr">
        <x:is>
          <x:t xml:space="preserve">RR-104</x:t>
        </x:is>
      </x:c>
      <x:c r="B105" t="inlineStr">
        <x:is>
          <x:t xml:space="preserve">CV-14</x:t>
        </x:is>
      </x:c>
      <x:c r="C105" t="inlineStr">
        <x:is>
          <x:t xml:space="preserve">degree: masters. experience level: senior-level. target role: nurse. skills: compassion, medical terminology, healthcare, first aid, cpr.</x:t>
        </x:is>
      </x:c>
      <x:c r="D105" t="inlineStr">
        <x:is>
          <x:t xml:space="preserve">Social Worker</x:t>
        </x:is>
      </x:c>
      <x:c r="E105" t="inlineStr">
        <x:is>
          <x:t xml:space="preserve">CJE SeniorLife has an exciting opportunity for an experienced Social Worker to join its team at Weinberg Community, its upscale assisted living facility located in Deerfield, IL. The Community is composed of Gidwitz Place with 125 one and two bedroom apartments, the Friend Center with 35 residential units providing state of the art Alzheimer’s care, and Adult Day Services for individuals with dementia. The qualified candidate will be responsible for the following: Conducts initial and ongoing assessments of the resident's emotional, physical, and functional status. Sets-up care plan reviews and participates regularly in the care planning of Friend Center and ADS residents. This includes participating in the decision-making process related to client transfers between programs and discharge planning. Works with family members during the admission and discharge process. Tours and coordinates admissions to Friend Center and Adult Day. Accurately documents behaviors and family interactions. Develops interventions with residents, families, staff members. Facilitates support groups. Works collaboratively with physicians and other health care providers. Assists with other Friend Center activities as needed (i.e.,serving meals, conducting activity groups).</x:t>
        </x:is>
      </x:c>
      <x:c r="F105" t="inlineStr">
        <x:is>
          <x:t xml:space="preserve">Qualifications: Master’s Degree in Social Work (MSW) required. LCSW preferred. 2+ years related experience in health care or aging services required. Experience and expertise with dementia. Excellent written and verbal communication skills and ability to effectively communicate with residents, families, employees and outside individuals and groups. Sensitivity to the needs of the elderly and families. Computer skills including knowledge of MS Office required. We offer a competitive salary and excellent benefits package including heath, dental, vision, generous paid time off and sick time, pension, 403(b) and much more! Submit resume with salary expectations via email by clicking Apply Now, or submit via fax to 773-508-4766.</x:t>
        </x:is>
      </x:c>
      <x:c r="G105" t="inlineStr">
        <x:is>
          <x:t xml:space="preserve">DEERFIELD</x:t>
        </x:is>
      </x:c>
      <x:c r="H105" t="inlineStr">
        <x:is>
          <x:t xml:space="preserve">IL</x:t>
        </x:is>
      </x:c>
      <x:c r="I105" t="n">
        <x:v>1</x:v>
      </x:c>
      <x:c r="J105" t="str">
        <x:v>تقارب جزئي في المهارات العملية، ولكن يحتاج لمراجعة تفصيلية في المقابلة للتأكد من مدى ملاءمته لمهام Social Worker.</x:v>
      </x:c>
      <x:c r="K105" t="n">
        <x:v>1</x:v>
      </x:c>
      <x:c r="L105" t="str">
        <x:v>وجهة نظر ثانية: الملف يظهر بعض التقارب، لكني أرى ضرورة التأكد من المهارات التخصصية في المقابلة.</x:v>
      </x:c>
      <x:c r="M105" t="n">
        <x:v>1</x:v>
      </x:c>
      <x:c r="N105" t="n">
        <x:v>1</x:v>
      </x:c>
    </x:row>
    <x:row r="106">
      <x:c r="A106" t="inlineStr">
        <x:is>
          <x:t xml:space="preserve">RR-105</x:t>
        </x:is>
      </x:c>
      <x:c r="B106" t="inlineStr">
        <x:is>
          <x:t xml:space="preserve">CV-06</x:t>
        </x:is>
      </x:c>
      <x:c r="C106" t="inlineStr">
        <x:is>
          <x:t xml:space="preserve">degree: phd. experience level: mid-level. target role: architect. skills: 3d modeling, project management, sustainable design, construction management, urban planning.</x:t>
        </x:is>
      </x:c>
      <x:c r="D106" t="inlineStr">
        <x:is>
          <x:t xml:space="preserve">Entry Level Management Available Now for Marketing Firm</x:t>
        </x:is>
      </x:c>
      <x:c r="E106" t="inlineStr">
        <x:is>
          <x:t xml:space="preserve">Entry Level Management With our recent expansion, and more to come over the next few months, we currently need to fill 8 immediate entry level management positions to help service our growing client base. These openings are essential to the success of our company, as they will be the future leaders of our company. We are looking to train the right candidates as soon as possible! Candidates will be cross trained in: Event Marketing Event Management Promotional Sales Public Relations Customer Service IMC is an event marketing company based Tukwila, WA. We service the largest Home Improvement clients and are responsible for generating new business and interests for them. NO EXPERIENCE IS NECESSARY!! If you’re looking to get into a NEW CAREER or are just an individual looking for a career change, then please apply! CONTACT US: Please contact our Human Resource Department, ask for Stacy - 206 575 6961 to set up an immediate interview with our hiring manager. Or, you may submit your resume to IMC@careersdept.com immediate review.</x:t>
        </x:is>
      </x:c>
      <x:c r="F106" t="inlineStr">
        <x:is>
          <x:t xml:space="preserve">Excellent verbal and communication skills Professional attitude and attire Ability to work effectively and succeed in a fast paced environment Must have (or be able to learn) leadership skills Ability to prioritize job responsibilities and manage time effectively Must be able to get along well with other team members! Have a Student Mentality. Your own RELIABLE transportation, able to commute from the office to ON SITE events. Student Positions Available! Grads Welcome! Internships Available! KEY WORDS: SALES, MARKETING, ADVERTISING, MANAGEMENT, ENTRY LEVEL MANAGEMENT, OFFICE ADMINISTRATION, DISTRIBUTION, CUSTOMER SERVICE, PUBLIC RELATIONS, INVENTORY CONTROL, SUPERVISORY, RETAIL, ADMINISTRATIVE ASSISTANT, OFFICE, account executive, account exec, account representative, account rep, account manager, account management, sales rep, sales representative, sales exec, sales executive, field sales, ad sales, marketing sales, promotional sales, publishing sales, mortgage sales, loan sales, loan officer, inside sales, outside sales, direct sales, sales professional, sales associate, telemarketing, cold caller, cold calling, salesman, saleswoman, salesperson</x:t>
        </x:is>
      </x:c>
      <x:c r="G106" t="inlineStr">
        <x:is>
          <x:t xml:space="preserve">TUKWILA</x:t>
        </x:is>
      </x:c>
      <x:c r="H106" t="inlineStr">
        <x:is>
          <x:t xml:space="preserve">WA</x:t>
        </x:is>
      </x:c>
      <x:c r="I106" t="n">
        <x:v>0</x:v>
      </x:c>
      <x:c r="J106" t="str">
        <x:v>لا يوجد أي تقاطع مهني بين دور Entry Level Management Available Now for Marketing Firm المطلوبة والاهتمام المهني للمرشح كـ architect.</x:v>
      </x:c>
      <x:c r="K106" t="n">
        <x:v>0</x:v>
      </x:c>
      <x:c r="L106" t="str">
        <x:v>استبعاد: الفجوة كبيرة في المهارات بين التخصص المستهدف (architect) والمسؤوليات المحددة لـ Entry Level Management Available Now for Marketing Firm.</x:v>
      </x:c>
      <x:c r="M106" t="n">
        <x:v>0</x:v>
      </x:c>
      <x:c r="N106" t="n">
        <x:v>0</x:v>
      </x:c>
    </x:row>
    <x:row r="107">
      <x:c r="A107" t="inlineStr">
        <x:is>
          <x:t xml:space="preserve">RR-106</x:t>
        </x:is>
      </x:c>
      <x:c r="B107" t="inlineStr">
        <x:is>
          <x:t xml:space="preserve">CV-18</x:t>
        </x:is>
      </x:c>
      <x:c r="C107" t="inlineStr">
        <x:is>
          <x:t xml:space="preserve">degree: phd. experience level: senior-level. target role: pharmacist. skills: pharmaceuticals, healthcare, medical terminology, patient consultation, medication dispensing.</x:t>
        </x:is>
      </x:c>
      <x:c r="D107" t="inlineStr">
        <x:is>
          <x:t xml:space="preserve">Part-Time Pharmacy Technician</x:t>
        </x:is>
      </x:c>
      <x:c r="E107" t="inlineStr">
        <x:is>
          <x:t xml:space="preserve">SUMMARY The primary purpose of this position is to assist the Pharmacist and Pharmacy Manager with serving customers and maintaining the Pharmacy department. The incumbent is also required to perform all tasks in a safe manner consistent with corporate policies and state and federal laws. ESSENTIAL DUTIES AND RESPONSIBILITIES The associate is responsible for the functions below, in addition to other duties as assigned: 1. Ensure prompt service in the Pharmacy department by assisting customers and operating the cash register. 2. Accept customer and prescription information, including refill authorization, from doctor’s offices where permitted by state law. 3. Retrieve the appropriate medication from inventory where permitted by state law. 4. Create prescription labels and put them on prescription containers where permitted by state law. 5. Place medication into prescription containers where permitted by state law. 6. Reconstitute oral liquids where permitted by state law. 7. Combine medication for dispensing to customers where permitted by state law. 8. Input customer and prescription data into the computer system where permitted by law. 9. Complete paperwork related to filling prescriptions. 10. Assist with maintaining the Pharmacy department by keeping it clean and in order. Experience / Requirements: Other Skills, Abilities, and/or Training The following qualities are required: •Minimum age of 18 years old as required by state law. •Ability to pass drug test. •Committed to providing customer service that makes both internal and external customers feel welcome, important, and appreciated. •Ability to preserve confidentiality of information. •Ability and willingness to move with purpose and a strong sense of urgency. •Ability to work weekends on a frequent basis. •Ability to work extended days on a rare basis. •Ability to work day or evening hours. •Accuracy and attention to detail. •Ability to organize and prioritize a variety of tasks/projects. •Familiarity with industry/technical terms and processes. •Ability to work within strict time frames and resolute deadlines. •Excellent customer service skills. The following qualities are helpful: •Ten-key punch speed of four thousand (4,000) SPH. •Typing speed of forty (40) WPM. •Knowledge of brand and generic drugs by name CER TIFICATES, LICENSES, AND/OR REGISTRATIONS This position requires the following licenses and/or certifications: •Pharmacy Technician certification where required by state law. •Rite Aid Technician certification. •Pharmacy Technician Certification Board (PTCB) certification. Education: Education and/or Experience High school diploma or general education degree (GED), plus 1 year experience in retail and/or pharmacy operations; or equivalent combination of education and experience.</x:t>
        </x:is>
      </x:c>
      <x:c r="F107" t="inlineStr">
        <x:is>
          <x:t xml:space="preserve"/>
        </x:is>
      </x:c>
      <x:c r="G107" t="inlineStr">
        <x:is>
          <x:t xml:space="preserve">CONCORD</x:t>
        </x:is>
      </x:c>
      <x:c r="H107" t="inlineStr">
        <x:is>
          <x:t xml:space="preserve">MA</x:t>
        </x:is>
      </x:c>
      <x:c r="I107" t="n">
        <x:v>1</x:v>
      </x:c>
      <x:c r="J107" t="str">
        <x:v>الخلفية المهنية قريبة نسبياً وتدعم بعض جوانب العمل في Part-Time Pharmacy Technician، إلا أن بعض المتطلبات تحتاج تدريب إضافي.</x:v>
      </x:c>
      <x:c r="K107" t="n">
        <x:v>1</x:v>
      </x:c>
      <x:c r="L107" t="str">
        <x:v>تقييم مستقل: توجد مهارات عامة يمكن الاستفادة منها، ولكن التأهيل غير مكتمل لوظيفة Part-Time Pharmacy Technician.</x:v>
      </x:c>
      <x:c r="M107" t="n">
        <x:v>1</x:v>
      </x:c>
      <x:c r="N107" t="n">
        <x:v>1</x:v>
      </x:c>
    </x:row>
    <x:row r="108">
      <x:c r="A108" t="inlineStr">
        <x:is>
          <x:t xml:space="preserve">RR-107</x:t>
        </x:is>
      </x:c>
      <x:c r="B108" t="inlineStr">
        <x:is>
          <x:t xml:space="preserve">CV-14</x:t>
        </x:is>
      </x:c>
      <x:c r="C108" t="inlineStr">
        <x:is>
          <x:t xml:space="preserve">degree: masters. experience level: senior-level. target role: nurse. skills: compassion, medical terminology, healthcare, first aid, cpr.</x:t>
        </x:is>
      </x:c>
      <x:c r="D108" t="inlineStr">
        <x:is>
          <x:t xml:space="preserve">PRSC / Case Manager</x:t>
        </x:is>
      </x:c>
      <x:c r="E108" t="inlineStr">
        <x:is>
          <x:t xml:space="preserve">Fairview Nursing Plaza has an open position for a case manager in our social service department. The case manager/PRSC will work one on one with residents, as well as participate in group meetings as assigned by the department. Experience in a long term care environment is preferred, but will work with the right person from a psych social or other human services background to become a valuable member of the team. BA/BS in sociology, psychology, human services or counseling required. If you are compassionate, tolerate and understanding of the needs of residents, have professional communication skills, and are looking to make a positive impact on the lives of the residents we serve, please submit resume for consideration. We offer a competitive salary, benefits, tuition assistance, flexible scheduling and advancement opportunity. Equal opportunity employer.</x:t>
        </x:is>
      </x:c>
      <x:c r="F108" t="inlineStr">
        <x:is>
          <x:t xml:space="preserve">Bachelors degree in human services, psychology, sociology or counseling Experience in a long term care facility preferred Excellent communication and organization skills required Ability to think fast on your feet, good decision making and customer service skills</x:t>
        </x:is>
      </x:c>
      <x:c r="G108" t="inlineStr">
        <x:is>
          <x:t xml:space="preserve">ROCKFORD</x:t>
        </x:is>
      </x:c>
      <x:c r="H108" t="inlineStr">
        <x:is>
          <x:t xml:space="preserve">IL</x:t>
        </x:is>
      </x:c>
      <x:c r="I108" t="n">
        <x:v>1</x:v>
      </x:c>
      <x:c r="J108" t="str">
        <x:v>قبول مبدئي: المرشح يمتلك أساسيات قوية، لكن طبيعة دور PRSC / Case Manager تختلف عن اهتمامه الرئيسي كـ nurse.</x:v>
      </x:c>
      <x:c r="K108" t="n">
        <x:v>1</x:v>
      </x:c>
      <x:c r="L108" t="str">
        <x:v>وجهة نظر ثانية: الملف يظهر بعض التقارب، لكني أرى ضرورة التأكد من المهارات التخصصية في المقابلة.</x:v>
      </x:c>
      <x:c r="M108" t="n">
        <x:v>1</x:v>
      </x:c>
      <x:c r="N108" t="n">
        <x:v>1</x:v>
      </x:c>
    </x:row>
    <x:row r="109">
      <x:c r="A109" t="inlineStr">
        <x:is>
          <x:t xml:space="preserve">RR-108</x:t>
        </x:is>
      </x:c>
      <x:c r="B109" t="inlineStr">
        <x:is>
          <x:t xml:space="preserve">CV-13</x:t>
        </x:is>
      </x:c>
      <x:c r="C109" t="inlineStr">
        <x:is>
          <x:t xml:space="preserve">degree: bachelors. experience level: senior-level. target role: biomedical engineer. skills: clinical trials, medical devices, engineering, research, regulatory compliance.</x:t>
        </x:is>
      </x:c>
      <x:c r="D109" t="inlineStr">
        <x:is>
          <x:t xml:space="preserve">Client Services Coordinator</x:t>
        </x:is>
      </x:c>
      <x:c r="E109" t="inlineStr">
        <x:is>
          <x:t xml:space="preserve">The Client Services Coordinator will provide support services for client hospitals to assist with the implementation of process improvement projects to meet and exceed the hospitals’ metric goals regarding their emergency room departments.</x:t>
        </x:is>
      </x:c>
      <x:c r="F109" t="inlineStr">
        <x:is>
          <x:t xml:space="preserve">Basic Qualifications Bachelor's degree preferred. 3+ years experience in a healthcare customer service related field. Microsoft Office skills to build formulas and tables in Excel. Ability to extract data from various formats into an Excel format. Strong analytical skills. Ability to work with external client contacts and partners. Ability to work independently and prioritize work to meet deadlines. Excellent verbal and written communication skills. Ability to multi-task. General Duties Maintains familiarity with hospital contracts to understand reporting needs for compliance. Communicate with the hospital based client (data extractor, administrative assistant, etc). Organize data for dashboards into easily read spreadsheets. Maintain dashboard tracking system. Upload dashboard files. Reconcile data to ensure information obtained is correct. Keep management updated on collections of dashboards. Participate on conference calls with management to review dashboards. Compiles contract compliance data for reports and distribution. Support management by organizing/assisting in delivering reports to client hospitals. Assist in Sales Force documentation (adding contacts, etc). Build reports from Sales Force. Phoenix Physicians offers a competitive benefits package 1. HMO/PPO Health Insurance 2. Dental Insurance 3. Vision Plan 4. Flexible Spending Accounts 5. Paid Time Off 6. Paid Holidays 7. 401(k) Retirement Plan with employer matching contributions 8. Tuition Reimbursement 9. Life Insurance 10. Short &amp; Long Term Disability How to Apply Emails resume to jobs@phoenixphysicians.com or fax (954) 714-6357 Phoenix Physicians is an Equal Opportunity Employer</x:t>
        </x:is>
      </x:c>
      <x:c r="G109" t="inlineStr">
        <x:is>
          <x:t xml:space="preserve">FORT LAUDERDALE</x:t>
        </x:is>
      </x:c>
      <x:c r="H109" t="inlineStr">
        <x:is>
          <x:t xml:space="preserve">FL</x:t>
        </x:is>
      </x:c>
      <x:c r="I109" t="n">
        <x:v>0</x:v>
      </x:c>
      <x:c r="J109" t="str">
        <x:v>المؤهلات في السيرة الذاتية تخص مجالات biomedical engineer فقط، ولا توجد خبرة سابقة في مسؤوليات Client Services Coordinator.</x:v>
      </x:c>
      <x:c r="K109" t="n">
        <x:v>0</x:v>
      </x:c>
      <x:c r="L109" t="str">
        <x:v>استبعاد: الفجوة كبيرة في المهارات بين التخصص المستهدف (biomedical engineer) والمسؤوليات المحددة لـ Client Services Coordinator.</x:v>
      </x:c>
      <x:c r="M109" t="n">
        <x:v>0</x:v>
      </x:c>
      <x:c r="N109" t="n">
        <x:v>0</x:v>
      </x:c>
    </x:row>
    <x:row r="110">
      <x:c r="A110" t="inlineStr">
        <x:is>
          <x:t xml:space="preserve">RR-109</x:t>
        </x:is>
      </x:c>
      <x:c r="B110" t="inlineStr">
        <x:is>
          <x:t xml:space="preserve">CV-30</x:t>
        </x:is>
      </x:c>
      <x:c r="C110" t="inlineStr">
        <x:is>
          <x:t xml:space="preserve">degree: masters. experience level: senior-level. target role: pilot. skills: navigation, air traffic control, risk management, emergency response, weather analysis.</x:t>
        </x:is>
      </x:c>
      <x:c r="D110" t="inlineStr">
        <x:is>
          <x:t xml:space="preserve">Medical Billing - NextGen</x:t>
        </x:is>
      </x:c>
      <x:c r="E110" t="inlineStr">
        <x:is>
          <x:t xml:space="preserve">A multi-physician Phoenix medical office is looking for a talented individual to help in their payment posting and AR department. This is a great opportunity for the right individual to work in a busy environment.</x:t>
        </x:is>
      </x:c>
      <x:c r="F110" t="inlineStr">
        <x:is>
          <x:t xml:space="preserve">Qualifications: Experience with NextGen 2 years recent billing/AR experience required</x:t>
        </x:is>
      </x:c>
      <x:c r="G110" t="inlineStr">
        <x:is>
          <x:t xml:space="preserve">PHOENIX</x:t>
        </x:is>
      </x:c>
      <x:c r="H110" t="inlineStr">
        <x:is>
          <x:t xml:space="preserve">AZ</x:t>
        </x:is>
      </x:c>
      <x:c r="I110" t="n">
        <x:v>0</x:v>
      </x:c>
      <x:c r="J110" t="str">
        <x:v>المرشح غير مناسب لشاغر Medical Billing - NextGen؛ توجهه المهني والمهارات المذكورة تنحصر في تخصص pilot.</x:v>
      </x:c>
      <x:c r="K110" t="n">
        <x:v>0</x:v>
      </x:c>
      <x:c r="L110" t="str">
        <x:v>ملاحظة المراجع الثاني: بعد التدقيق، لا توجد خبرة عمل معتمدة تتناسب مع متطلبات وظيفة Medical Billing - NextGen.</x:v>
      </x:c>
      <x:c r="M110" t="n">
        <x:v>0</x:v>
      </x:c>
      <x:c r="N110" t="n">
        <x:v>0</x:v>
      </x:c>
    </x:row>
    <x:row r="111">
      <x:c r="A111" t="inlineStr">
        <x:is>
          <x:t xml:space="preserve">RR-110</x:t>
        </x:is>
      </x:c>
      <x:c r="B111" t="inlineStr">
        <x:is>
          <x:t xml:space="preserve">CV-25</x:t>
        </x:is>
      </x:c>
      <x:c r="C111" t="inlineStr">
        <x:is>
          <x:t xml:space="preserve">degree: phd. experience level: senior-level. target role: graphic designer. skills: photo editing, branding, web design, adobe photoshop, typography.</x:t>
        </x:is>
      </x:c>
      <x:c r="D111" t="inlineStr">
        <x:is>
          <x:t xml:space="preserve">Seeking an Administrative Assistant / Receptionist</x:t>
        </x:is>
      </x:c>
      <x:c r="E111" t="inlineStr">
        <x:is>
          <x:t xml:space="preserve">A company that specializes in high tech solutions for the apparel industry is currently looking for a Receptionist/Administrative Assistant to work in Midtown Manhattan Responsibilities will include: - Answer all calls and take accurate messages - Schedule and prepare meetings and log client visits. - Handle all outgoing and incoming mail and packages - Order and organize all office supplies - Prepare tracking reports in MS Excel Salary will be commensurate with experience and includes medical benefits.</x:t>
        </x:is>
      </x:c>
      <x:c r="F111" t="inlineStr">
        <x:is>
          <x:t xml:space="preserve">- Minimum 2 years experience as a Receptionist / Administrative Assistant - Excellent written and interpersonal communication skills - Excellent Knowledge of MS Excel</x:t>
        </x:is>
      </x:c>
      <x:c r="G111" t="inlineStr">
        <x:is>
          <x:t xml:space="preserve">NEW YORK</x:t>
        </x:is>
      </x:c>
      <x:c r="H111" t="inlineStr">
        <x:is>
          <x:t xml:space="preserve">NY</x:t>
        </x:is>
      </x:c>
      <x:c r="I111" t="n">
        <x:v>0</x:v>
      </x:c>
      <x:c r="J111" t="str">
        <x:v>لا يوجد أي تقاطع مهني بين دور Seeking an Administrative Assistant / Receptionist المطلوبة والاهتمام المهني للمرشح كـ graphic designer.</x:v>
      </x:c>
      <x:c r="K111" t="n">
        <x:v>1</x:v>
      </x:c>
      <x:c r="L111" t="str">
        <x:v>وجهة نظر ثانية: الملف يظهر بعض التقارب، لكني أرى ضرورة التأكد من المهارات التخصصية في المقابلة.</x:v>
      </x:c>
      <x:c r="M111" t="n">
        <x:v>0</x:v>
      </x:c>
      <x:c r="N111" t="n">
        <x:v>0</x:v>
      </x:c>
    </x:row>
    <x:row r="112">
      <x:c r="A112" t="inlineStr">
        <x:is>
          <x:t xml:space="preserve">RR-111</x:t>
        </x:is>
      </x:c>
      <x:c r="B112" t="inlineStr">
        <x:is>
          <x:t xml:space="preserve">CV-07</x:t>
        </x:is>
      </x:c>
      <x:c r="C112" t="inlineStr">
        <x:is>
          <x:t xml:space="preserve">degree: bachelors. experience level: senior-level. target role: operations manager. skills: project management, leadership, supply chain management, customer service, risk management.</x:t>
        </x:is>
      </x:c>
      <x:c r="D112" t="inlineStr">
        <x:is>
          <x:t xml:space="preserve">Operations Manager</x:t>
        </x:is>
      </x:c>
      <x:c r="E112" t="inlineStr">
        <x:is>
          <x:t xml:space="preserve">Position Summary: The Operations Manager schedules and directs personnel and resources towards providing quality, cost effective service to clients. Responsible for work order sales for job sites. Supports Branch Manager in estimating, budgeting, and client relations. Essential Duties &amp; Responsibilities: Client Service: 50% of the Time Responsible for ensuring job site’s quality and appearance meet client and company standards. Responsible for understanding client needs and ongoing communication with clients. Manage all activities involving landscape maintenance services, including the coordination of all materials, people, equipment and subcontractors required to produce a quality job. Inspect properties prior to scheduled service in order to properly prepare specific action plan for service. Effectively monitor irrigations systems, identify problems or necessary repairs, and communicate recommendations to the appropriate party. Effectively monitor plant and turf grass vigor and identify insect or disease problems. Perform hands on work with crews as needed to meet work and scheduling demands. Employee and Safety Management: 30% of the Time Hire new employees as needed. Understand new hire paperwork process and ensure accurate completion of all required items. Communicate with, counsel, train, discipline, develop, and review employees. Provide hands on training and support of crew personnel in areas such as proper operation of equipment, pruning techniques, safety, and quality standards. Prepare crews’ daily schedules, providing direction and goals to be accomplished, and emphasizing quality and efficiency of operations. Monitor safety record of crews and minimize accidents to personnel and equipment. Keep emergency contact information up to date and available. Ensure crews are appropriately attired and groomed. Administrative &amp; Financial: 20% of the Time Manage and maintain all administrative and record keeping systems required including time sheets, gantt charts, weekly schedules, and work order schedules. Orders materials needed for job and monitor costs and deliveries. Request purchase order prior to purchasing and use in accordance with company guidelines. Responsible for proper upkeep and maintenance, storage, use, and training required for branch equipment. Implement and enforce policies and procedures as issued by management.</x:t>
        </x:is>
      </x:c>
      <x:c r="F112" t="inlineStr">
        <x:is>
          <x:t xml:space="preserve">Qualification Requirements: Knowledge, Skills &amp; Abilities: Complete knowledge of branch office functions, geographic responsibilities and customer assignments. Proficient use of all landscape equipment. Solid knowledge of plant material, diseases and insects, chemical spray and irrigation. Basic math capabilities, including standard units of measure, basic math including addition, subtraction, multiplication, division, and the ability to determine square footage of property. Ability to multi-task, manage multiple priorities and work with minimal supervision in a rapidly changing environment while maintaining strong attention to detail. Commitment to providing exceptional customer service to managers and employees. Ability to work with production teams and identify opportunities for improvement. Excellent communication skills, both written and oral. Education and/or Experience: Minimum of 2 years of hands-on field experience with one year of prior supervisory experience and/or Minimum education of a two or four year degree in a landscape related degree, general degree with coursework in the landscape field or certification by a landscape association.</x:t>
        </x:is>
      </x:c>
      <x:c r="G112" t="inlineStr">
        <x:is>
          <x:t xml:space="preserve">AUSTELL</x:t>
        </x:is>
      </x:c>
      <x:c r="H112" t="inlineStr">
        <x:is>
          <x:t xml:space="preserve">GA</x:t>
        </x:is>
      </x:c>
      <x:c r="I112" t="n">
        <x:v>2</x:v>
      </x:c>
      <x:c r="J112" t="str">
        <x:v>خبرات المرشح كـ operations manager والمهارات المذكورة تغطي كافة الجوانب الأساسية المطلوبة لدور Operations Manager.</x:v>
      </x:c>
      <x:c r="K112" t="n">
        <x:v>2</x:v>
      </x:c>
      <x:c r="L112" t="str">
        <x:v>مرشح قوي: المطابقة عالية ومباشرة لجميع المسؤوليات اليومية المطلوبة.</x:v>
      </x:c>
      <x:c r="M112" t="n">
        <x:v>2</x:v>
      </x:c>
      <x:c r="N112" t="n">
        <x:v>2</x:v>
      </x:c>
    </x:row>
    <x:row r="113">
      <x:c r="A113" t="inlineStr">
        <x:is>
          <x:t xml:space="preserve">RR-112</x:t>
        </x:is>
      </x:c>
      <x:c r="B113" t="inlineStr">
        <x:is>
          <x:t xml:space="preserve">CV-15</x:t>
        </x:is>
      </x:c>
      <x:c r="C113" t="inlineStr">
        <x:is>
          <x:t xml:space="preserve">degree: masters. experience level: mid-level. target role: systems analyst. skills: data analysis, systems integration, project management, sql, business process modeling.</x:t>
        </x:is>
      </x:c>
      <x:c r="D113" t="inlineStr">
        <x:is>
          <x:t xml:space="preserve">Strategic Marketing Analyst</x:t>
        </x:is>
      </x:c>
      <x:c r="E113" t="inlineStr">
        <x:is>
          <x:t xml:space="preserve">Develop customer segmentation and analysis, based on customer information and behavior patterns (i.e product usage, profit contribution, retention trends ) to establish customer value and revenue potential. Develop, implement, and interpret predictive models to increase effectiveness of customer acquisition, retention, cross selling opportunities that would lead to increased deposit and fee income opportunities. Lead the development of Customer Relationship Management application (CRM) to support sales and service objectives. Develop and coordinate automated tracking capabilities. Analyze and monitor the application execution throughout the sales/service network and recommend improvements to strengthen capabilities. Act as a liaison with market research partners to ensure development, execution and analysis of primary research studies.</x:t>
        </x:is>
      </x:c>
      <x:c r="F113" t="inlineStr">
        <x:is>
          <x:t xml:space="preserve">Minimum four years experience in database marketing and response analysis. Experience with sales automation applications and sales/service processes. Bachelor's degree in Marketing, Business Information Systems, Statistics or related fields. Knowledge of statistical modeling and experience with data mining tools (Unica Model or SAS). Knowledge of relational and dimensional database models. Experience with Business Intelligence and reporting tools (such as Business Objects, FoxPro, or CrystalReports) Strong project management, organizational and time management skills required Excellent ability to interpret, design and develop SQL processesl</x:t>
        </x:is>
      </x:c>
      <x:c r="G113" t="inlineStr">
        <x:is>
          <x:t xml:space="preserve">NEW HYDE PARK</x:t>
        </x:is>
      </x:c>
      <x:c r="H113" t="inlineStr">
        <x:is>
          <x:t xml:space="preserve">NY</x:t>
        </x:is>
      </x:c>
      <x:c r="I113" t="n">
        <x:v>1</x:v>
      </x:c>
      <x:c r="J113" t="str">
        <x:v>تقارب جزئي في المهارات العملية، ولكن يحتاج لمراجعة تفصيلية في المقابلة للتأكد من مدى ملاءمته لمهام Strategic Marketing Analyst.</x:v>
      </x:c>
      <x:c r="K113" t="n">
        <x:v>1</x:v>
      </x:c>
      <x:c r="L113" t="str">
        <x:v>تقييم مستقل: توجد مهارات عامة يمكن الاستفادة منها، ولكن التأهيل غير مكتمل لوظيفة Strategic Marketing Analyst.</x:v>
      </x:c>
      <x:c r="M113" t="n">
        <x:v>1</x:v>
      </x:c>
      <x:c r="N113" t="n">
        <x:v>1</x:v>
      </x:c>
    </x:row>
    <x:row r="114">
      <x:c r="A114" t="inlineStr">
        <x:is>
          <x:t xml:space="preserve">RR-113</x:t>
        </x:is>
      </x:c>
      <x:c r="B114" t="inlineStr">
        <x:is>
          <x:t xml:space="preserve">CV-23</x:t>
        </x:is>
      </x:c>
      <x:c r="C114" t="inlineStr">
        <x:is>
          <x:t xml:space="preserve">degree: phd. experience level: senior-level. target role: civil engineer. skills: materials testing, risk assessment, structural design, soil mechanics, construction management.</x:t>
        </x:is>
      </x:c>
      <x:c r="D114" t="inlineStr">
        <x:is>
          <x:t xml:space="preserve">Customer Service / Administrative Support</x:t>
        </x:is>
      </x:c>
      <x:c r="E114" t="inlineStr">
        <x:is>
          <x:t xml:space="preserve">Duties include answering phones, filing, and helping clients in person and over the phone. Hours are 8:00am - 5:00pm Monday - Friday. Benefits. Andrews Filter is a drug free workplace. You can also fax your resume to 407-422-3710. No phone calls please. Requirements &amp; Responsibilities Acts as primary contact with walk-in and phone clients. Greet clients and guests entering the office. Explains benefits of various products. Answer multi-line phone system; screen and direct calls Take &amp; relay messages; provide information to callers Take &amp; enter data for client product orders Input data for daily Fedex deliveries Must have general computing skills (MS Word, MS Excel) Professional demeanor via phone and in person required Must be punctual and reliable Must be able to pass background check Assist with general office tasks and filing, and other duties as assigned Source - Orlando Sentinel</x:t>
        </x:is>
      </x:c>
      <x:c r="F114" t="inlineStr">
        <x:is>
          <x:t xml:space="preserve">Please refer to the Job Description to view the requirements for this job</x:t>
        </x:is>
      </x:c>
      <x:c r="G114" t="inlineStr">
        <x:is>
          <x:t xml:space="preserve">ORLANDO</x:t>
        </x:is>
      </x:c>
      <x:c r="H114" t="inlineStr">
        <x:is>
          <x:t xml:space="preserve">FL</x:t>
        </x:is>
      </x:c>
      <x:c r="I114" t="n">
        <x:v>0</x:v>
      </x:c>
      <x:c r="J114" t="str">
        <x:v>المؤهلات في السيرة الذاتية تخص مجالات civil engineer فقط، ولا توجد خبرة سابقة في مسؤوليات Customer Service / Administrative Support.</x:v>
      </x:c>
      <x:c r="K114" t="n">
        <x:v>1</x:v>
      </x:c>
      <x:c r="L114" t="str">
        <x:v>وجهة نظر ثانية: الملف يظهر بعض التقارب، لكني أرى ضرورة التأكد من المهارات التخصصية في المقابلة.</x:v>
      </x:c>
      <x:c r="M114" t="n">
        <x:v>0</x:v>
      </x:c>
      <x:c r="N114" t="n">
        <x:v>0</x:v>
      </x:c>
    </x:row>
    <x:row r="115">
      <x:c r="A115" t="inlineStr">
        <x:is>
          <x:t xml:space="preserve">RR-114</x:t>
        </x:is>
      </x:c>
      <x:c r="B115" t="inlineStr">
        <x:is>
          <x:t xml:space="preserve">CV-29</x:t>
        </x:is>
      </x:c>
      <x:c r="C115" t="inlineStr">
        <x:is>
          <x:t xml:space="preserve">degree: bachelors. experience level: senior-level. target role: dentist. skills: anatomy, orthodontics, oral health, patient care, oral hygiene.</x:t>
        </x:is>
      </x:c>
      <x:c r="D115" t="inlineStr">
        <x:is>
          <x:t xml:space="preserve">Management Trainees</x:t>
        </x:is>
      </x:c>
      <x:c r="E115" t="inlineStr">
        <x:is>
          <x:t xml:space="preserve">IT’S BO TIME MANAGEMENT PROGRAM TRI-ARC FOOD SYSTEMS, INC. dba BOJANGLES NOW HIRING MANAGER TRAINEES FOR ALL TRIANGLE AND SURROUNDING LOCATIONS We invite you to join our team. Come grow as we grow! Benefits: Medical and Disability Insurance, 401K Program, Paid Vacation, FMLA, Paid Training Phone: 919-859-1131 or FAX: 919-859-9361 EMAIL: jobs@bojanglesrdu.com</x:t>
        </x:is>
      </x:c>
      <x:c r="F115" t="inlineStr">
        <x:is>
          <x:t xml:space="preserve">See job description for requirements.</x:t>
        </x:is>
      </x:c>
      <x:c r="G115" t="inlineStr">
        <x:is>
          <x:t xml:space="preserve">RALEIGH</x:t>
        </x:is>
      </x:c>
      <x:c r="H115" t="inlineStr">
        <x:is>
          <x:t xml:space="preserve">NC</x:t>
        </x:is>
      </x:c>
      <x:c r="I115" t="n">
        <x:v>0</x:v>
      </x:c>
      <x:c r="J115" t="str">
        <x:v>المرشح غير مناسب لشاغر Management Trainees؛ توجهه المهني والمهارات المذكورة تنحصر في تخصص dentist.</x:v>
      </x:c>
      <x:c r="K115" t="n">
        <x:v>0</x:v>
      </x:c>
      <x:c r="L115" t="str">
        <x:v>استبعاد: الفجوة كبيرة في المهارات بين التخصص المستهدف (dentist) والمسؤوليات المحددة لـ Management Trainees.</x:v>
      </x:c>
      <x:c r="M115" t="n">
        <x:v>0</x:v>
      </x:c>
      <x:c r="N115" t="n">
        <x:v>0</x:v>
      </x:c>
    </x:row>
    <x:row r="116">
      <x:c r="A116" t="inlineStr">
        <x:is>
          <x:t xml:space="preserve">RR-115</x:t>
        </x:is>
      </x:c>
      <x:c r="B116" t="inlineStr">
        <x:is>
          <x:t xml:space="preserve">CV-10</x:t>
        </x:is>
      </x:c>
      <x:c r="C116" t="inlineStr">
        <x:is>
          <x:t xml:space="preserve">degree: phd. experience level: senior-level. target role: urban planner. skills: project management, policy analysis, gis, community engagement, urban development.</x:t>
        </x:is>
      </x:c>
      <x:c r="D116" t="inlineStr">
        <x:is>
          <x:t xml:space="preserve">Production Positions</x:t>
        </x:is>
      </x:c>
      <x:c r="E116" t="inlineStr">
        <x:is>
          <x:t xml:space="preserve">Production - Manufacturing Positions- All Shifts Get out of the heat and come work for Arizona's fastest growing food company! We have production and sanitation positions available for hard working individuals who can operate machinery, lift 50 pounds, follow instructions, and work in a damp cold environment with moderate noise. Looking for energetic, responsible individuals who are able to work weekends that want a challenging career in a food manfacturing industry. Positions available: Cook Machine Operators Sandwich Artist Packers Food Prep Cleaners/Sanitation We take applications on a walk in basis on Wedndesday's from 9 AM-11 AM. You must apply in person to be considered. No phone calls please. Apply At: 859 South 86th Ave Tolleson, AZ 85353</x:t>
        </x:is>
      </x:c>
      <x:c r="F116" t="inlineStr">
        <x:is>
          <x:t xml:space="preserve">High School Diploma or GED Ability to follow oral and written instructions. Organizational skills and attention to detail. Ability to follow written policies, programs and SOP’s. Food industry and experience preferred</x:t>
        </x:is>
      </x:c>
      <x:c r="G116" t="inlineStr">
        <x:is>
          <x:t xml:space="preserve">TOLLESON</x:t>
        </x:is>
      </x:c>
      <x:c r="H116" t="inlineStr">
        <x:is>
          <x:t xml:space="preserve">AZ</x:t>
        </x:is>
      </x:c>
      <x:c r="I116" t="n">
        <x:v>0</x:v>
      </x:c>
      <x:c r="J116" t="str">
        <x:v>لا يوجد أي تقاطع مهني بين دور Production Positions المطلوبة والاهتمام المهني للمرشح كـ urban planner.</x:v>
      </x:c>
      <x:c r="K116" t="n">
        <x:v>0</x:v>
      </x:c>
      <x:c r="L116" t="str">
        <x:v>ملاحظة المراجع الثاني: بعد التدقيق، لا توجد خبرة عمل معتمدة تتناسب مع متطلبات وظيفة Production Positions.</x:v>
      </x:c>
      <x:c r="M116" t="n">
        <x:v>0</x:v>
      </x:c>
      <x:c r="N116" t="n">
        <x:v>0</x:v>
      </x:c>
    </x:row>
    <x:row r="117">
      <x:c r="A117" t="inlineStr">
        <x:is>
          <x:t xml:space="preserve">RR-116</x:t>
        </x:is>
      </x:c>
      <x:c r="B117" t="inlineStr">
        <x:is>
          <x:t xml:space="preserve">CV-12</x:t>
        </x:is>
      </x:c>
      <x:c r="C117" t="inlineStr">
        <x:is>
          <x:t xml:space="preserve">degree: phd. experience level: senior-level. target role: personal trainer. skills: fitness, anatomy, injury prevention, nutrition, exercise planning.</x:t>
        </x:is>
      </x:c>
      <x:c r="D117" t="inlineStr">
        <x:is>
          <x:t xml:space="preserve">Registration Coordinator</x:t>
        </x:is>
      </x:c>
      <x:c r="E117" t="inlineStr">
        <x:is>
          <x:t xml:space="preserve">Date Posted: 05 / 04 / 2012 Facility: Baylor Surgicare at Carrollton Job Category: Business Office United Surgical Partners International is a company that specializes in the development and operation of Ambulatory Surgical Facilities in the U.S. and the UK. We provide first-class surgical services for local communities and recognize our employees as our number one assets. The Registration Coordinator interfaces with patients and families, physicians and staff. Admit patients and process their paperwork. Update patient demographics/information in system. Collect monies due and document in billing system. Handle funds per office procedure. You have the opportunity to meet new people and build professional relationships with physician offices. Cross training for other Business Office positions a possibility.</x:t>
        </x:is>
      </x:c>
      <x:c r="F117" t="inlineStr">
        <x:is>
          <x:t xml:space="preserve">Minimum Experience: 2 Preferred Experience: *High school graduate or equivalent. *One year previous experience or some hospital clerical experience or medical terminology preferred. *Must have the skills necessary to operate the office equipment required to fulfill job duties. *Forty-five (45) wpm typing skills required. *Medical terminology and computer experience beneficial *Good communication skills.</x:t>
        </x:is>
      </x:c>
      <x:c r="G117" t="inlineStr">
        <x:is>
          <x:t xml:space="preserve">CARROLLTON</x:t>
        </x:is>
      </x:c>
      <x:c r="H117" t="inlineStr">
        <x:is>
          <x:t xml:space="preserve">TX</x:t>
        </x:is>
      </x:c>
      <x:c r="I117" t="n">
        <x:v>0</x:v>
      </x:c>
      <x:c r="J117" t="str">
        <x:v>المرشح مستهدف العمل كـ personal trainer، بينما الوظيفة المعروضة هي Registration Coordinator. الاختلاف كبير في طبيعة المهام والمسار المهني.</x:v>
      </x:c>
      <x:c r="K117" t="n">
        <x:v>1</x:v>
      </x:c>
      <x:c r="L117" t="str">
        <x:v>وجهة نظر ثانية: الملف يظهر بعض التقارب، لكني أرى ضرورة التأكد من المهارات التخصصية في المقابلة.</x:v>
      </x:c>
      <x:c r="M117" t="n">
        <x:v>0</x:v>
      </x:c>
      <x:c r="N117" t="n">
        <x:v>0</x:v>
      </x:c>
    </x:row>
    <x:row r="118">
      <x:c r="A118" t="inlineStr">
        <x:is>
          <x:t xml:space="preserve">RR-117</x:t>
        </x:is>
      </x:c>
      <x:c r="B118" t="inlineStr">
        <x:is>
          <x:t xml:space="preserve">CV-05</x:t>
        </x:is>
      </x:c>
      <x:c r="C118" t="inlineStr">
        <x:is>
          <x:t xml:space="preserve">degree: masters. experience level: senior-level. target role: database administrator. skills: optimization, cloud databases, sql, database management, performance tuning.</x:t>
        </x:is>
      </x:c>
      <x:c r="D118" t="inlineStr">
        <x:is>
          <x:t xml:space="preserve">Adminstrative Assistant</x:t>
        </x:is>
      </x:c>
      <x:c r="E118" t="inlineStr">
        <x:is>
          <x:t xml:space="preserve">Each Administrative support approximately 7-10 Sales Directors via phone and e-mail. The Sales Service team is focused on delivering maximum value to our sales teams at all times, enabling them to sell more, sell better and sell more efficiently. Key Responsibilities &amp; Duties Include, but not Limited to: Provide administrative support to Managing Directors, Directors, Presidents, VP’s and bankers Process travel and expenses for Sales Directors. Maintain assigned Sales Directors' calendars. Mail or e-mail promotional items and approved marketing materials Run Customer Relationship Management database sales and activity reports and communicate results to Sales Directors. Facilitate CRM database clean-up. Research and resolve trade reconciliation questions. Setup and coordinate local meetings/conferences working closely with Marketing and vendors. Assist with seeking the pre-approval for all non-cash compensation activities. Communicate internal policy and procedure changes (e.g. PeopleSoft, FundSpace, Cash/Non Cash, Distribution of Marketing Materials) to Sales Directors. Perform additional responsibilities as assigned. Participate in team wide efforts to streamline processes and increase efficiency. .</x:t>
        </x:is>
      </x:c>
      <x:c r="F118" t="inlineStr">
        <x:is>
          <x:t xml:space="preserve">Qualifications Bachelor's Degree in Finance, Management, Business or other related discipline or equivalent experience required. 3-5 years experience in a fast-paced professional environment. Previous sales support &amp; customer service experience. Proven ability to identify process inefficiencies and to take action to improve. Master at multi-tasking; able to manage multiple projects at once, juggle priorities, meet tight deadlines and effectively communicate expectations to stakeholders. Ability to quickly learn technology systems and utilize reporting functions; experience with a CRM system preferred. Strong attention to detail. Independent worker; able to exercise judgment according to regulations and policies; comfortable escalating issues to management when needed. Superior verbal and written communication skills; exhibits professionalism in all communication. Comfortable with Microsoft Word, Excel, PowerPoint, Outlook</x:t>
        </x:is>
      </x:c>
      <x:c r="G118" t="inlineStr">
        <x:is>
          <x:t xml:space="preserve">NEW YORK</x:t>
        </x:is>
      </x:c>
      <x:c r="H118" t="inlineStr">
        <x:is>
          <x:t xml:space="preserve">NY</x:t>
        </x:is>
      </x:c>
      <x:c r="I118" t="n">
        <x:v>0</x:v>
      </x:c>
      <x:c r="J118" t="str">
        <x:v>عدم مطابقة: خبرات المرشح موجهة نحو database administrator، وهي بعيدة عن متطلبات دور Adminstrative Assistant.</x:v>
      </x:c>
      <x:c r="K118" t="n">
        <x:v>0</x:v>
      </x:c>
      <x:c r="L118" t="str">
        <x:v>استبعاد: الفجوة كبيرة في المهارات بين التخصص المستهدف (database administrator) والمسؤوليات المحددة لـ Adminstrative Assistant.</x:v>
      </x:c>
      <x:c r="M118" t="n">
        <x:v>0</x:v>
      </x:c>
      <x:c r="N118" t="n">
        <x:v>0</x:v>
      </x:c>
    </x:row>
    <x:row r="119">
      <x:c r="A119" t="inlineStr">
        <x:is>
          <x:t xml:space="preserve">RR-118</x:t>
        </x:is>
      </x:c>
      <x:c r="B119" t="inlineStr">
        <x:is>
          <x:t xml:space="preserve">CV-07</x:t>
        </x:is>
      </x:c>
      <x:c r="C119" t="inlineStr">
        <x:is>
          <x:t xml:space="preserve">degree: bachelors. experience level: senior-level. target role: operations manager. skills: project management, leadership, supply chain management, customer service, risk management.</x:t>
        </x:is>
      </x:c>
      <x:c r="D119" t="inlineStr">
        <x:is>
          <x:t xml:space="preserve">General Manager f/Processing/Service &amp; Manufacturing Plant</x:t>
        </x:is>
      </x:c>
      <x:c r="E119" t="inlineStr">
        <x:is>
          <x:t xml:space="preserve">SP 288 General Manager f/Processing/Service &amp; Manufacturing Plant Compensation : Commensurate with Experience + Benefits, Bonus Large service company looking to add a General Manager to the following locations: SP 288 Atlanta, GA (zip code guidance – 30385) SP 289 Richmond, VA (zip code guidance 23173) This position will report to the VP of Operations. This role will be responsible for the overall operations of a processing plant (up to 100 employee’s per plant). Role is to increase profitability to each location. 50% of position will be sales, marketing and client interface. Balance of operations will be administrative, overseeing production plant managers/employee retention, sales, route services to increase sales. + if experience in union negotiations. Please see our website for further details. www.hiresuccess.biz Interview process will consist of initial phone screens (up to 5) with face-to-face interview of selected candidates. Please submit resume along w/region specification to: spines@hiresuccess.biz Only resumes reflecting the above criteria will be considered.</x:t>
        </x:is>
      </x:c>
      <x:c r="F119" t="inlineStr">
        <x:is>
          <x:t xml:space="preserve">Undergraduate Degree and or Work Related Experience in Manufacturing, Sales and Management (at least eight (8) year’s. MBA or continued education Minimum eight (8) year’s experience in areas of production, operations management in a production &amp; manufacturing facility reflecting increased responsibilities and promotions Three (3) year’s management capacity with P&amp;L, Budget responsibility for a route based service provider.</x:t>
        </x:is>
      </x:c>
      <x:c r="G119" t="inlineStr">
        <x:is>
          <x:t xml:space="preserve">ATLANTA</x:t>
        </x:is>
      </x:c>
      <x:c r="H119" t="inlineStr">
        <x:is>
          <x:t xml:space="preserve">GA</x:t>
        </x:is>
      </x:c>
      <x:c r="I119" t="n">
        <x:v>2</x:v>
      </x:c>
      <x:c r="J119" t="str">
        <x:v>تطابق ممتاز في المؤهلات والخبرات العملية مع الشاغر الوظيفي (General Manager f/Processing/Service &amp; Manufacturing Plant).</x:v>
      </x:c>
      <x:c r="K119" t="n">
        <x:v>2</x:v>
      </x:c>
      <x:c r="L119" t="str">
        <x:v>توصية بالمقابلة: المهارات والمؤهلات تتوافق تماماً مع الوصف الوظيفي لـ General Manager f/Processing/Service &amp; Manufacturing Plant.</x:v>
      </x:c>
      <x:c r="M119" t="n">
        <x:v>2</x:v>
      </x:c>
      <x:c r="N119" t="n">
        <x:v>2</x:v>
      </x:c>
    </x:row>
    <x:row r="120">
      <x:c r="A120" t="inlineStr">
        <x:is>
          <x:t xml:space="preserve">RR-119</x:t>
        </x:is>
      </x:c>
      <x:c r="B120" t="inlineStr">
        <x:is>
          <x:t xml:space="preserve">CV-23</x:t>
        </x:is>
      </x:c>
      <x:c r="C120" t="inlineStr">
        <x:is>
          <x:t xml:space="preserve">degree: phd. experience level: senior-level. target role: civil engineer. skills: materials testing, risk assessment, structural design, soil mechanics, construction management.</x:t>
        </x:is>
      </x:c>
      <x:c r="D120" t="inlineStr">
        <x:is>
          <x:t xml:space="preserve">Senior Estimator</x:t>
        </x:is>
      </x:c>
      <x:c r="E120" t="inlineStr">
        <x:is>
          <x:t xml:space="preserve">Senior Estimator Orlando, FL Hubbard Construction Company is Florida's largest heavy civil construction company. The scope of Hubbard's work includes complex highway projects, site development, paving, utility and drainage systems, surveying, RAP and hot mix sales, and state of the art bridge building. We provide multiple delivery systems in design-build, bid-build, public-private-partnerships and design-build finance. Hubbard can take your job, no matter the size, from the design stage to the final layer of asphalt. We provide our full-time team members with the resources they need, both in and out of the workplace through health and dental insurance, medical spending and dependent care spending accounts, basic life insurance, short term disability and long term disability as well as a 401(k) savings plan with match for retirement. Hubbard Construction Company is an Equal Opportunity Employer and a Drug-Free Workplace. We're looking for a highly motivated, professional team player to join our Estimating team. Job Objective: This position within the Estimating Department at Hubbard Construction Company will have 10+ years of civil construction estimating experience, with an emphasis on highway interchanges, drainage systems, roads, and bridges. To apply, please email resume with salary requirements to personnel@hubbard.com or fax resume to 407-623-3930. M/F/D/V encouraged to apply.</x:t>
        </x:is>
      </x:c>
      <x:c r="F120" t="inlineStr">
        <x:is>
          <x:t xml:space="preserve">Qualifications: Must have 10+ years experience in civil construction engineering estimating experience Must have directly related experience in estimating projects $100M+ Design-build and PPP experience a must Must have working knowledge of construction assemblies and all project phases Proven ability to produce accurate estimates from conceptual and schematic drawings Proven ability to produce detailed, final contract estimates Proven ability to assess site exposures/construction risks and be able to appropriately analyze cost and reflect these in an estimate Proven ability to identify constructability issues through the estimating process Proven ability to identify value-engineering alternatives Must have excellent written and verbal communication skills Must be flexible with work schedule; travel within Florida approximately 10% Must work well with all levels within the organization Must work well as a team Valid Florida driver's license and satisfactory driving record Working experience on HCSS a plus</x:t>
        </x:is>
      </x:c>
      <x:c r="G120" t="inlineStr">
        <x:is>
          <x:t xml:space="preserve">ORLANDO</x:t>
        </x:is>
      </x:c>
      <x:c r="H120" t="inlineStr">
        <x:is>
          <x:t xml:space="preserve">FL</x:t>
        </x:is>
      </x:c>
      <x:c r="I120" t="n">
        <x:v>1</x:v>
      </x:c>
      <x:c r="J120" t="str">
        <x:v>قبول مبدئي: المرشح يمتلك أساسيات قوية، لكن طبيعة دور Senior Estimator تختلف عن اهتمامه الرئيسي كـ civil engineer.</x:v>
      </x:c>
      <x:c r="K120" t="n">
        <x:v>0</x:v>
      </x:c>
      <x:c r="L120" t="str">
        <x:v>تقييم مستقل: المرشح مركز تماماً على مجال civil engineer وهو بعيد عن النطاق التشغيلي لدور Senior Estimator.</x:v>
      </x:c>
      <x:c r="M120" t="n">
        <x:v>1</x:v>
      </x:c>
      <x:c r="N120" t="n">
        <x:v>1</x:v>
      </x:c>
    </x:row>
    <x:row r="121">
      <x:c r="A121" t="inlineStr">
        <x:is>
          <x:t xml:space="preserve">RR-120</x:t>
        </x:is>
      </x:c>
      <x:c r="B121" t="inlineStr">
        <x:is>
          <x:t xml:space="preserve">CV-23</x:t>
        </x:is>
      </x:c>
      <x:c r="C121" t="inlineStr">
        <x:is>
          <x:t xml:space="preserve">degree: phd. experience level: senior-level. target role: civil engineer. skills: materials testing, risk assessment, structural design, soil mechanics, construction management.</x:t>
        </x:is>
      </x:c>
      <x:c r="D121" t="inlineStr">
        <x:is>
          <x:t xml:space="preserve">PROJECT MANAGER</x:t>
        </x:is>
      </x:c>
      <x:c r="E121" t="inlineStr">
        <x:is>
          <x:t xml:space="preserve">PROJECT MANAGER Seretta Construction, a national leader in tiltwall construction, is seeking an experienced Project Manager for our Orlando, Florida office. The ideal candidate must have a B.S in Civil Engineering or B.S. in Building Construction and a minimum 5 years direct experience in commercial concrete construction, tiltwall experience required. Ability to manage and schedule multiple projects, check shop drawings and maintain quality control through project completion. Strong supervision, communication and organizational skills are essential. Seretta Construction offers a competitive salary and comprehensive benefits package. Qualified candidates should forward cover letter and resume to: jobs@seretta.com or fax (407) 290-9372. EOE &amp; DFWP WEB OS26819 Source - Orlando Sentinel</x:t>
        </x:is>
      </x:c>
      <x:c r="F121" t="inlineStr">
        <x:is>
          <x:t xml:space="preserve">Please refer to the Job Description to view the requirements for this job</x:t>
        </x:is>
      </x:c>
      <x:c r="G121" t="inlineStr">
        <x:is>
          <x:t xml:space="preserve">APOPKA</x:t>
        </x:is>
      </x:c>
      <x:c r="H121" t="inlineStr">
        <x:is>
          <x:t xml:space="preserve">FL</x:t>
        </x:is>
      </x:c>
      <x:c r="I121" t="n">
        <x:v>1</x:v>
      </x:c>
      <x:c r="J121" t="str">
        <x:v>تقارب جزئي في المهارات العملية، ولكن يحتاج لمراجعة تفصيلية في المقابلة للتأكد من مدى ملاءمته لمهام PROJECT MANAGER.</x:v>
      </x:c>
      <x:c r="K121" t="n">
        <x:v>1</x:v>
      </x:c>
      <x:c r="L121" t="str">
        <x:v>قبول مشروط: الخلفية المهنية قريبة نسبياً لـ PROJECT MANAGER، لكن يحتاج لتدريب على المهام الأساسية.</x:v>
      </x:c>
      <x:c r="M121" t="n">
        <x:v>1</x:v>
      </x:c>
      <x:c r="N121" t="n">
        <x:v>1</x:v>
      </x:c>
    </x:row>
    <x:row r="122">
      <x:c r="A122" t="inlineStr">
        <x:is>
          <x:t xml:space="preserve">RR-121</x:t>
        </x:is>
      </x:c>
      <x:c r="B122" t="inlineStr">
        <x:is>
          <x:t xml:space="preserve">CV-10</x:t>
        </x:is>
      </x:c>
      <x:c r="C122" t="inlineStr">
        <x:is>
          <x:t xml:space="preserve">degree: phd. experience level: senior-level. target role: urban planner. skills: project management, policy analysis, gis, community engagement, urban development.</x:t>
        </x:is>
      </x:c>
      <x:c r="D122" t="inlineStr">
        <x:is>
          <x:t xml:space="preserve">Community Manager</x:t>
        </x:is>
      </x:c>
      <x:c r="E122" t="inlineStr">
        <x:is>
          <x:t xml:space="preserve">Roosevelt Point is a collegiate housing community under development by EdR. The Community Manager of Roosevelt Point is responsibile for leasing up the property in preparation for its opening. Additionally, the Community Manager manages the business plan and the residence life program for the property. Responsibilities include: Developing and enjoying an excellent relationship with the university and community. Hiring, supervising, and training staff. Developing the annual operating budget. Supervising daily accounting and administrative functions. Monitoring monthly operating statements to assure compliance with budget. Assuring the physical plant is maintained in accordance with expectations. Supervising summer conferences and group bookings. Establishing a residence life program to promote the academic, emotional and physical well-being of the resident. Establishing the resident assistant/community assistant program. We offer competetive pay and benefits including medical, dental, life, 401(k), and more. To learn more about Roosevelt Point in Phoenix, please visit www.EdRtrust.com and click on Investor Relations / Company News. A PDF of the 2-29-12 press release may be downloaded. Roosevelt Point is one of several opportunities in property management currently open at EdR. To view more career opportunities, including other Community Manager openings, please visit www.EdRtrust.com and click on Careers. EOE M/F/D/V Drug-Free Workplace</x:t>
        </x:is>
      </x:c>
      <x:c r="F122" t="inlineStr">
        <x:is>
          <x:t xml:space="preserve">Three years experience in apartment management, housing operations, residence life, facilities management, or hotel management is required. A Bachelor’s Degree in Business Administration, Management, etc. is desirable.</x:t>
        </x:is>
      </x:c>
      <x:c r="G122" t="inlineStr">
        <x:is>
          <x:t xml:space="preserve">PHOENIX</x:t>
        </x:is>
      </x:c>
      <x:c r="H122" t="inlineStr">
        <x:is>
          <x:t xml:space="preserve">AZ</x:t>
        </x:is>
      </x:c>
      <x:c r="I122" t="n">
        <x:v>1</x:v>
      </x:c>
      <x:c r="J122" t="str">
        <x:v>توجد مهارات إدارية وتنظيمية مشتركة مع دور Community Manager، لكن المرشح ينقصه التخصص المباشر والخبرة الفنية الدقيقة.</x:v>
      </x:c>
      <x:c r="K122" t="n">
        <x:v>1</x:v>
      </x:c>
      <x:c r="L122" t="str">
        <x:v>تقييم مستقل: توجد مهارات عامة يمكن الاستفادة منها، ولكن التأهيل غير مكتمل لوظيفة Community Manager.</x:v>
      </x:c>
      <x:c r="M122" t="n">
        <x:v>1</x:v>
      </x:c>
      <x:c r="N122" t="n">
        <x:v>1</x:v>
      </x:c>
    </x:row>
    <x:row r="123">
      <x:c r="A123" t="inlineStr">
        <x:is>
          <x:t xml:space="preserve">RR-122</x:t>
        </x:is>
      </x:c>
      <x:c r="B123" t="inlineStr">
        <x:is>
          <x:t xml:space="preserve">CV-30</x:t>
        </x:is>
      </x:c>
      <x:c r="C123" t="inlineStr">
        <x:is>
          <x:t xml:space="preserve">degree: masters. experience level: senior-level. target role: pilot. skills: navigation, air traffic control, risk management, emergency response, weather analysis.</x:t>
        </x:is>
      </x:c>
      <x:c r="D123" t="inlineStr">
        <x:is>
          <x:t xml:space="preserve">Account Administrator, Executive Benefits</x:t>
        </x:is>
      </x:c>
      <x:c r="E123" t="inlineStr">
        <x:is>
          <x:t xml:space="preserve">More than 4,100 professionals at Lockton provide more than 15,000 clients around the world with insurance , benefits , and risk management services, offering an uncommon level of client service. From its founding in 1966, Lockton has grown to become the largest privately held insurance broker in the world and 9th largest overall . Independent researcher Greenwich Associates awarded Lockton its 2011 Service Excellence Award for risk management for large companies. Business Insurance has twice recognized Lockton as a “Best Place to Work in Insurance.” You can learn more at www.lockton.com . Responsibilities Assist in producing written client and employee communication materials (e.g., presentations, reports, new account documentation, spreadsheets, etc.). Prepare materials for use in plan level and employee education meetings. Coordinate meetings and materials with clients, vendors, and internal teams including delivery of materials needed for offsite employee education meetings. As experience allows, assist in conducting client meetings. Request information from vendors; become familiar with vendor websites to retrieve pertinent data for reports, and input information into client materials accurately and timely. Serve as Subject Matter Expert for vendor websites and online reporting systems. Assist in maintaining client files electronically and via hard copy, including all vendor agreements, plan documents, compliance test results, and general correspondence. Provide creative solutions to produce/refine client deliverables. Input solutions in PowerPoint presentations, brochures, communication pieces, and marketing materials. Assimilate client information from various sources into spreadsheets, charts, and other templates in a meaningful and organized manner for clients. Provide proactive internal updates on the status of new case implementation, paperwork, and investment changes by corresponding with vendors and/or using vendor web-based resources. Respond promptly to internal requests for service/assistance. Proactively identify ways to improve internal processes that result in improved customer satisfaction and internal productivity. Ensure high quality work product by following established proofreading procedures for quality document processing. Assist with preparing marketing reports and evaluation proposals for clients and prospects, as well as other reports as requested.</x:t>
        </x:is>
      </x:c>
      <x:c r="F123" t="inlineStr">
        <x:is>
          <x:t xml:space="preserve">Bachelor's degree in a business-related program or equivalent education and/or experience required. Previous financial services/insurance industry/nonqualified deferred compensation plane experience preferred. Proven ability to be a self-starter and willingness to improve life insurance and nonqualified deferred compensation industry knowledge. Ability/willingness to interact with vendors and clients. Full proficiency in the use of Microsoft Word, Excel, and PowerPoint required. High aptitude for accuracy in mathematical calculations along with strong attention to detail in order to proofread spreadsheets and review documents for errors. Must have strong verbal, written, and interpersonal skills to interact with associates at all levels of responsibility, along with the ability to communicate with tact and diplomacy. Organizational and time management skills to prioritize workload and to meet time sensitive deadlines required. Must be results-oriented with the ability to change priorities as needed. Lockton Companies, LLC, is an Equal Opportunity Employer. As a privately-held company, we offer a competitive compensation and benefits package reflecting our commitment to attracting and retaining great associates. This includes health and dental coverage effective on the hire date, 401(k) match with immediate vesting, and a competitive vacation plan. **NO AGENCIES PLEASE** Any Employment Agency, person, or entity that submits an unsolicited resume to this site does so with the understanding that the applicant's resume will become the property of Lockton Companies, LLC. Lockton will have the right to hire that applicant at its discretion and without any fee owed to the submitting Employment Agency, person, or entity. Employment Agencies who have fee agreements with Lockton must submit applicants to the designated Lockton Employment Coordinator to be eligible for placement fees.</x:t>
        </x:is>
      </x:c>
      <x:c r="G123" t="inlineStr">
        <x:is>
          <x:t xml:space="preserve">SCOTTSDALE</x:t>
        </x:is>
      </x:c>
      <x:c r="H123" t="inlineStr">
        <x:is>
          <x:t xml:space="preserve">AZ</x:t>
        </x:is>
      </x:c>
      <x:c r="I123" t="n">
        <x:v>0</x:v>
      </x:c>
      <x:c r="J123" t="str">
        <x:v>عدم مطابقة: خبرات المرشح موجهة نحو pilot، وهي بعيدة عن متطلبات دور Account Administrator, Executive Benefits.</x:v>
      </x:c>
      <x:c r="K123" t="n">
        <x:v>0</x:v>
      </x:c>
      <x:c r="L123" t="str">
        <x:v>تقييم مستقل: المرشح مركز تماماً على مجال pilot وهو بعيد عن النطاق التشغيلي لدور Account Administrator, Executive Benefits.</x:v>
      </x:c>
      <x:c r="M123" t="n">
        <x:v>0</x:v>
      </x:c>
      <x:c r="N123" t="n">
        <x:v>0</x:v>
      </x:c>
    </x:row>
    <x:row r="124">
      <x:c r="A124" t="inlineStr">
        <x:is>
          <x:t xml:space="preserve">RR-123</x:t>
        </x:is>
      </x:c>
      <x:c r="B124" t="inlineStr">
        <x:is>
          <x:t xml:space="preserve">CV-20</x:t>
        </x:is>
      </x:c>
      <x:c r="C124" t="inlineStr">
        <x:is>
          <x:t xml:space="preserve">degree: phd. experience level: mid-level. target role: ai researcher. skills: innovation, programming, research methodology, machine learning, deep learning.</x:t>
        </x:is>
      </x:c>
      <x:c r="D124" t="inlineStr">
        <x:is>
          <x:t xml:space="preserve">Data Entry Clerk / Healthcare Data Entry / Clerical</x:t>
        </x:is>
      </x:c>
      <x:c r="E124" t="inlineStr">
        <x:is>
          <x:t xml:space="preserve">We are currently seeking Data Entry Clerk / Healthcare Data Entry / Clerical candidates for an excellent opportunity! Job description for Data Entry Clerk / Healthcare Data Entry / Clerical: The ideal Data Entry Clerk / Healthcare Data Entry / Clerical candidates will be entering patient information into the computer system Data Entry Clerk / Healthcare Data Entry / Clerical candidates we be providing administrative and clerical support to the team Qualified Clerical candidates will be entering data into the company database and software This is a great opportunity to get experience in the medical field. Interested Data Entry Clerk / Healthcare Data Entry / Clerical candidates are encouraged to apply today!</x:t>
        </x:is>
      </x:c>
      <x:c r="F124" t="inlineStr">
        <x:is>
          <x:t xml:space="preserve">Job Requirements for Data Entry Clerk / Healthcare Data Entry / Clerical: Data Entry Clerk / Healthcare Data Entry / Clerical candidates will have experience working in a fast paced environment Qualified Healthcare Data Entry / Clerical candidates will have experience working with Microsoft Word and Excel The ideal Data Entry Clerk candidate will have strong typing and computer skills Experience working in an Administrative capacity is required</x:t>
        </x:is>
      </x:c>
      <x:c r="G124" t="inlineStr">
        <x:is>
          <x:t xml:space="preserve">PHOENIX</x:t>
        </x:is>
      </x:c>
      <x:c r="H124" t="inlineStr">
        <x:is>
          <x:t xml:space="preserve">AZ</x:t>
        </x:is>
      </x:c>
      <x:c r="I124" t="n">
        <x:v>0</x:v>
      </x:c>
      <x:c r="J124" t="str">
        <x:v>المؤهلات في السيرة الذاتية تخص مجالات ai researcher فقط، ولا توجد خبرة سابقة في مسؤوليات Data Entry Clerk / Healthcare Data Entry / Clerical.</x:v>
      </x:c>
      <x:c r="K124" t="n">
        <x:v>0</x:v>
      </x:c>
      <x:c r="L124" t="str">
        <x:v>استبعاد: الفجوة كبيرة في المهارات بين التخصص المستهدف (ai researcher) والمسؤوليات المحددة لـ Data Entry Clerk / Healthcare Data Entry / Clerical.</x:v>
      </x:c>
      <x:c r="M124" t="n">
        <x:v>0</x:v>
      </x:c>
      <x:c r="N124" t="n">
        <x:v>0</x:v>
      </x:c>
    </x:row>
    <x:row r="125">
      <x:c r="A125" t="inlineStr">
        <x:is>
          <x:t xml:space="preserve">RR-124</x:t>
        </x:is>
      </x:c>
      <x:c r="B125" t="inlineStr">
        <x:is>
          <x:t xml:space="preserve">CV-01</x:t>
        </x:is>
      </x:c>
      <x:c r="C125" t="inlineStr">
        <x:is>
          <x:t xml:space="preserve">degree: bachelors. experience level: mid-level. target role: fitness coach. skills: injury prevention, motivation, nutrition, health coaching, strength training.</x:t>
        </x:is>
      </x:c>
      <x:c r="D125" t="inlineStr">
        <x:is>
          <x:t xml:space="preserve">Sports Minded Professional Entry Level Management Opportunities</x:t>
        </x:is>
      </x:c>
      <x:c r="E125" t="inlineStr">
        <x:is>
          <x:t xml:space="preserve">Pacific Group Associates Has Immediate Openings for an Entry Level Account Manager To Apply For This Position Please Click APPLY NOW and attach your resume. Feel free to contact Jackie directly in the Human Resources Department at 619-684-3839. Pacific Group Associates is taking on new clients this year and hiring individuals to contribute to the company’s growth. We are excited about taking on new ventures and growing the team we have. With the new workload, we will be filling management roles within the year. Pacific Group Associates has a no seniority policy and requires all individuals, regardless of experience and regardless of the position they are applying for, to start and be trained at an entry level position. Promotions are based on individual performance at their perspective role. This job involves in-person sales to business owners. All positions advance into team lead and executive director roles. The Position: Account Manager Job Description: Client Acquisition Client Retention Face to Face Negotiations With Account Holders Both New And Existing For Immediate Consideration CLICK HERE TO APPLY.</x:t>
        </x:is>
      </x:c>
      <x:c r="F125" t="inlineStr">
        <x:is>
          <x:t xml:space="preserve">- Bachelors Degree (preferred but not required) - Ability To Work Well As A Team As Well As Individually - Positive, Solution Oriented Mindset - Sense Of Humor (You will make mistakes here, it is much easier if you laugh at them) - Strong Work Ethic (We Believe We Can Train The Rest) Benefits: - Medical Benefits Available - No Seniority/Promotions Based On Performance - Rapid Growth -Steady Schedule (no nights or weekends) - On The Job Training In The Areas Of Management, Negotiation, Marketing, Human Resources, and Coaching We do NOT do telemarketing. All client interactions are conducted face to face. To Apply For This Position Please apply BY CLICKING ON THE APPLY NOW TAB, or simply CLICK HERE TO APPLY. - You can also contact Jackie at 619-684-3890. We do not leave emails sitting in the inbox and will be reviewing all resumes within 24 hours of receipt. If we would like more information and discuss an interview we will be contacting prospects within 1-2 days of receiving the resume. You can check out our website &amp; other links below Website Google Profile Blogspot Facebook</x:t>
        </x:is>
      </x:c>
      <x:c r="G125" t="inlineStr">
        <x:is>
          <x:t xml:space="preserve">SAN DIEGO</x:t>
        </x:is>
      </x:c>
      <x:c r="H125" t="inlineStr">
        <x:is>
          <x:t xml:space="preserve">CA</x:t>
        </x:is>
      </x:c>
      <x:c r="I125" t="n">
        <x:v>0</x:v>
      </x:c>
      <x:c r="J125" t="str">
        <x:v>المرشح غير مناسب لشاغر Sports Minded Professional Entry Level Management Opportunities؛ توجهه المهني والمهارات المذكورة تنحصر في تخصص fitness coach.</x:v>
      </x:c>
      <x:c r="K125" t="n">
        <x:v>1</x:v>
      </x:c>
      <x:c r="L125" t="str">
        <x:v>تقييم مستقل: توجد مهارات عامة يمكن الاستفادة منها، ولكن التأهيل غير مكتمل لوظيفة Sports Minded Professional Entry Level Management Opportunities.</x:v>
      </x:c>
      <x:c r="M125" t="n">
        <x:v>0</x:v>
      </x:c>
      <x:c r="N125" t="n">
        <x:v>0</x:v>
      </x:c>
    </x:row>
    <x:row r="126">
      <x:c r="A126" t="inlineStr">
        <x:is>
          <x:t xml:space="preserve">RR-125</x:t>
        </x:is>
      </x:c>
      <x:c r="B126" t="inlineStr">
        <x:is>
          <x:t xml:space="preserve">CV-17</x:t>
        </x:is>
      </x:c>
      <x:c r="C126" t="inlineStr">
        <x:is>
          <x:t xml:space="preserve">degree: bachelors. experience level: senior-level. target role: content writer. skills: research, creative writing, blogging, editing, communication.</x:t>
        </x:is>
      </x:c>
      <x:c r="D126" t="inlineStr">
        <x:is>
          <x:t xml:space="preserve">Client Services Support Analyst</x:t>
        </x:is>
      </x:c>
      <x:c r="E126" t="inlineStr">
        <x:is>
          <x:t xml:space="preserve">Position Summary : Provide support to clients for all existing and future Payment product offerings provided by Fundtech Corporation Primary Responsibilities : Provide professional application and technical support/consultation to clients of Fundtech Payment products who will be banks or major corporations Provide 1st and 2nd level support and execute escalation procedures when applicable as defined by Payments Customer Support management. Provide phone support for connectivity to various interfaces/applications such as the Federal Reserve Bank, Depository Financial Institutions, and other third party vendors Continued learning, as necessary, of International and Domestic Payments Products and the software applications Fundtech sells to support the products Interact with customer and internal technical personnel to explain problems and solutions involving the supported software Continually monitor and update all assigned inquiries with accuracy and relevant information which are accessible internally and by Fundtech’s clients. Create and maintain documentation pertaining to daily operations of the Payments Customer Support Group. Continually monitor the E-mail inbox. Assign and create support incidence records and tasks based upon received e-mail information. Maintain Test Environment for all Payment Products for support of the Payments Group Perform all other duties as assigned</x:t>
        </x:is>
      </x:c>
      <x:c r="F126" t="inlineStr">
        <x:is>
          <x:t xml:space="preserve">Qualifications/Experience: Bachelor’s degree (concentration in business or technology preferred) Experience with support of technical services and must have the ability to quickly learn the technical aspects needed to support the products Prior experience in supporting customers of banking or financial software applications preferred Must have good verbal/phone presence - experience in call center or customer support is a plus Able to multi-task and manage changing priorities to meet demands of clients who will represent banks for corporations Demonstrate ability to contribute to an atmosphere of teamwork through collaborative behavior and open communications Experience with interfacing via phone or in emails at all levels from senior management to junior staff when responding to customers Excellent analytical, communication (Verbal and written) skills; process-oriented Enjoys problem solving</x:t>
        </x:is>
      </x:c>
      <x:c r="G126" t="inlineStr">
        <x:is>
          <x:t xml:space="preserve">NORCROSS</x:t>
        </x:is>
      </x:c>
      <x:c r="H126" t="inlineStr">
        <x:is>
          <x:t xml:space="preserve">GA</x:t>
        </x:is>
      </x:c>
      <x:c r="I126" t="n">
        <x:v>0</x:v>
      </x:c>
      <x:c r="J126" t="str">
        <x:v>لا يوجد أي تقاطع مهني بين دور Client Services Support Analyst المطلوبة والاهتمام المهني للمرشح كـ content writer.</x:v>
      </x:c>
      <x:c r="K126" t="n">
        <x:v>0</x:v>
      </x:c>
      <x:c r="L126" t="str">
        <x:v>تقييم مستقل: المرشح مركز تماماً على مجال content writer وهو بعيد عن النطاق التشغيلي لدور Client Services Support Analyst.</x:v>
      </x:c>
      <x:c r="M126" t="n">
        <x:v>0</x:v>
      </x:c>
      <x:c r="N126" t="n">
        <x:v>0</x:v>
      </x:c>
    </x:row>
    <x:row r="127">
      <x:c r="A127" t="inlineStr">
        <x:is>
          <x:t xml:space="preserve">RR-126</x:t>
        </x:is>
      </x:c>
      <x:c r="B127" t="inlineStr">
        <x:is>
          <x:t xml:space="preserve">CV-08</x:t>
        </x:is>
      </x:c>
      <x:c r="C127" t="inlineStr">
        <x:is>
          <x:t xml:space="preserve">degree: phd. experience level: mid-level. target role: cybersecurity analyst. skills: penetration testing, incident response, security protocols, network security, ethical hacking.</x:t>
        </x:is>
      </x:c>
      <x:c r="D127" t="inlineStr">
        <x:is>
          <x:t xml:space="preserve">Assistant to the CEO</x:t>
        </x:is>
      </x:c>
      <x:c r="E127" t="inlineStr">
        <x:is>
          <x:t xml:space="preserve">Assistant to the CEO A fantastic Executive Assistant role has opened up in downtown Boston. The EA to the CEO will be responsible for directly supporting this high profile executive along with supporting operations and working with the management team. Duties: * Accomplishes operations/organizational objectives by establishing standards and procedures; measuring results against plans and standards; evaluating and improving methods; making required changes. * Completes special projects by establishing time frames for completion with the vice president of operations; researching literature and other sources of information; analyzing qualitative and quantitative data and pro forma statements; summarizing and documenting results. * Contributes to the effectiveness of the CEO by responding to inquiries in person or in writing on behalf of the CEO; participating in meetings as assigned; reviewing and summarizing technical materials and data; assisting department heads with special management problems; ensuring that new programs are launched with complete analysis and supporting documentation; facilitating communication to/from the CEO and the divisional staff. * Maintains quality results by establishing, following, and enforcing standards. * Updates job knowledge by participating in educational opportunities; reading professional publications; maintaining personal networks; participating in professional organizations. *Accomplishes department and organization mission by completing related results as needed.</x:t>
        </x:is>
      </x:c>
      <x:c r="F127" t="inlineStr">
        <x:is>
          <x:t xml:space="preserve">We are looking for a professional administrative professional who is looking to take the next step in his or her career. This opportunity provides excellent exposure within a prestigious organization. We are seeking someone with 4+ years of administrative support experience, preferably supporting executives or high level managers. Ideally candidates will have 5-7 years of office support experience at the executive level. Keywords: Research Skills, Microsoft Office Skills, Managing Processes, Organization, Planning, Time Management, Process Improvement, Tracking Budget Expenses, Reporting Skills, Administrative Writing Skills IMMEDIATE availability is required for this position. There are no costs for candidates utilizing our services as our clients pay for all related hiring fees. All PSG job postings are either actual positions we had available at the time of posting and/or are representative of positions we typically fill or expect to fill. If you see a job that interests you, respond to the ad or give us a call so that we can help you find a job you'll love. As one of the area's largest staffing firms, we helped almost 5,000 people find jobs this year so chances are good that we can help you too.</x:t>
        </x:is>
      </x:c>
      <x:c r="G127" t="inlineStr">
        <x:is>
          <x:t xml:space="preserve">BOSTON</x:t>
        </x:is>
      </x:c>
      <x:c r="H127" t="inlineStr">
        <x:is>
          <x:t xml:space="preserve">MA</x:t>
        </x:is>
      </x:c>
      <x:c r="I127" t="n">
        <x:v>0</x:v>
      </x:c>
      <x:c r="J127" t="str">
        <x:v>المرشح مستهدف العمل كـ cybersecurity analyst، بينما الوظيفة المعروضة هي Assistant to the CEO. الاختلاف كبير في طبيعة المهام والمسار المهني.</x:v>
      </x:c>
      <x:c r="K127" t="n">
        <x:v>0</x:v>
      </x:c>
      <x:c r="L127" t="str">
        <x:v>استبعاد: الفجوة كبيرة في المهارات بين التخصص المستهدف (cybersecurity analyst) والمسؤوليات المحددة لـ Assistant to the CEO.</x:v>
      </x:c>
      <x:c r="M127" t="n">
        <x:v>0</x:v>
      </x:c>
      <x:c r="N127" t="n">
        <x:v>0</x:v>
      </x:c>
    </x:row>
    <x:row r="128">
      <x:c r="A128" t="inlineStr">
        <x:is>
          <x:t xml:space="preserve">RR-127</x:t>
        </x:is>
      </x:c>
      <x:c r="B128" t="inlineStr">
        <x:is>
          <x:t xml:space="preserve">CV-01</x:t>
        </x:is>
      </x:c>
      <x:c r="C128" t="inlineStr">
        <x:is>
          <x:t xml:space="preserve">degree: bachelors. experience level: mid-level. target role: fitness coach. skills: injury prevention, motivation, nutrition, health coaching, strength training.</x:t>
        </x:is>
      </x:c>
      <x:c r="D128" t="inlineStr">
        <x:is>
          <x:t xml:space="preserve">HUMAN RESOURCES GENERALIST</x:t>
        </x:is>
      </x:c>
      <x:c r="E128" t="inlineStr">
        <x:is>
          <x:t xml:space="preserve">Mission Community Hospital , a 145 bed acute care facility located in Panorama City is currently seeking a Human Resources Generalist. T he Human Resources Generalist is responsible for various Human Resources programs including, but not limited to, the administration of all Group Benefit programs, compliance with Rule 2202, Leaves of Absence, Worker’s Compensation, including claims management and risk management, COBRA administration, I-9 compliance and Unemployment Claims tracking. Provides employee relations and performance management leadership while working closely with managers and employees to resolve work related issues, and employee concerns resulting in making sound recommendations in accordance with company policies, state, and federal laws. Major Responsibilities Employee Relations 60% • Build, and maintain relationships with employees, and management. • Handle resignation and termination procedures. • Provides support for employee relations matters, and uses judgment to give direction to employees or involve higher level managemen t. • Initiate and conduct timely investigations, prepare documentation and make recommendations for corrective/disciplinary actions. Coordination of Employee Activities/HR Administration 15% • Actively participates in the organization and presentation of new hire orientation. • Reviews, updates, and provides feedback on performance evaluations. • In services Departments on HR policies as needed. • Administer compliance with Rule 2202 of the SAQMD for each location. • Track all filings for Unemployment Insurance and arrange to dispute the claims if appropriate. • Periodically audit the I-9 files (especially documents identified as “time sensitive”) for compliance. • Periodically or as needed updates policies and procedures. • Maintain a positive customer service environment through prompt courteous, thorough and accurate response to identified concerns. • Promote effective team work and a positive work environment through cooperation, consistency and a willingness to assume added responsibilities as needed. • Coordinates special events as needed. • Generate turnover reports and analysis. • Oversee creation and distribution of license/certification and evaluation reports. Employee Benefits- 10% • Responsible for administration of all aspects of the Group Benefit programs. This includes coordinating procedures to enroll newly eligible employees, verifying monthly premium statements for all group insurances, COBRA notifications and tracking and facilitation of the annual open enrollment process including a Benefits Fair. • Works with our benefits broker and/or the providers to address employees’ questions and issues concerning such things as coverage, deductibles, eligibility etc. • As required explains benefits policy and systems to staff all levels in the organization. • Interfaces with Payroll to ensure correct benefit accruals and payroll deduction formulas. Leaves of Absence- 10 % • Recommends policy and documents practices covering the administration of Group Benefits, Leaves of Absence and Workers’ Compensation. • Processes documents necessary for the implementation of the various programs administered and distributes and maintain such documents as required. • Conduct salary surveys as requested by the Director of Human Resources. • Manages the Leave of Absence program insuring that employee paperwork is submitted on a timely basis and is complete and accurate. Insures all relevant premiums continue to be paid and that the employee is placed on COBRA when the employee is no longer eligible for benefits. Workers’ Compensation/ OSHA- 5% • Administration of the Workers’ Compensation program will include the following: Insure that all necessary paperwork included in the “Report of Injury or Illness Procedures” packet is completed for each incident. Insure that proper and adequate medical care is provided the injured worker and that that worker’s rights are fully explained to him/her. • Insure that reports are properly filed with the insurance carrier and that the carrier is monitoring the medical care and progress of the injured worker. Further, monitor the care the worker is getting from all providers from the Urgent Care to Specialists. • Insure all appropriate OSHA reporting is done. • Follow-up with supervision and/or Support Services on all risk management or prevention issues that stem from investigation of the incident. • Maintain monthly summaries of the basic facts surrounding each incident including the OSHA log (if the incident is recordable). • Maintain, submit, and present reports to PI and Safety Committee. Other duties as assigned.</x:t>
        </x:is>
      </x:c>
      <x:c r="F128" t="inlineStr">
        <x:is>
          <x:t xml:space="preserve">Required • Bachelor’s degree in Human Resource or related field or equivalent certification/experience • Minimum three years’ experience in Human Resources as a Generalist with Benefits as a primary responsibility • Solid experience in employee relations • Excellent human relations and oral/written communication skills • Fire Card Learn more about Mission Community Hospital by visiting us online at www.mchonline.org where applications are available for downloading. Applications may be faxed to (818) 904-3610, emailed to employment@mchonline.org or mailed to Mission Community Hospital, 14850 Roscoe Blvd., Panorama City, CA 91402, Attention: Human Resources. We are an equal opportunity employer.</x:t>
        </x:is>
      </x:c>
      <x:c r="G128" t="inlineStr">
        <x:is>
          <x:t xml:space="preserve">PANORAMA CITY</x:t>
        </x:is>
      </x:c>
      <x:c r="H128" t="inlineStr">
        <x:is>
          <x:t xml:space="preserve">CA</x:t>
        </x:is>
      </x:c>
      <x:c r="I128" t="n">
        <x:v>0</x:v>
      </x:c>
      <x:c r="J128" t="str">
        <x:v>عدم مطابقة: خبرات المرشح موجهة نحو fitness coach، وهي بعيدة عن متطلبات دور HUMAN RESOURCES GENERALIST.</x:v>
      </x:c>
      <x:c r="K128" t="n">
        <x:v>0</x:v>
      </x:c>
      <x:c r="L128" t="str">
        <x:v>ملاحظة المراجع الثاني: بعد التدقيق، لا توجد خبرة عمل معتمدة تتناسب مع متطلبات وظيفة HUMAN RESOURCES GENERALIST.</x:v>
      </x:c>
      <x:c r="M128" t="n">
        <x:v>0</x:v>
      </x:c>
      <x:c r="N128" t="n">
        <x:v>0</x:v>
      </x:c>
    </x:row>
    <x:row r="129">
      <x:c r="A129" t="inlineStr">
        <x:is>
          <x:t xml:space="preserve">RR-128</x:t>
        </x:is>
      </x:c>
      <x:c r="B129" t="inlineStr">
        <x:is>
          <x:t xml:space="preserve">CV-20</x:t>
        </x:is>
      </x:c>
      <x:c r="C129" t="inlineStr">
        <x:is>
          <x:t xml:space="preserve">degree: phd. experience level: mid-level. target role: ai researcher. skills: innovation, programming, research methodology, machine learning, deep learning.</x:t>
        </x:is>
      </x:c>
      <x:c r="D129" t="inlineStr">
        <x:is>
          <x:t xml:space="preserve">Medical Billing - NextGen</x:t>
        </x:is>
      </x:c>
      <x:c r="E129" t="inlineStr">
        <x:is>
          <x:t xml:space="preserve">A multi-physician Phoenix medical office is looking for a talented individual to help in their payment posting and AR department. This is a great opportunity for the right individual to work in a busy environment.</x:t>
        </x:is>
      </x:c>
      <x:c r="F129" t="inlineStr">
        <x:is>
          <x:t xml:space="preserve">Qualifications: Experience with NextGen 2 years recent billing/AR experience required</x:t>
        </x:is>
      </x:c>
      <x:c r="G129" t="inlineStr">
        <x:is>
          <x:t xml:space="preserve">PHOENIX</x:t>
        </x:is>
      </x:c>
      <x:c r="H129" t="inlineStr">
        <x:is>
          <x:t xml:space="preserve">AZ</x:t>
        </x:is>
      </x:c>
      <x:c r="I129" t="n">
        <x:v>0</x:v>
      </x:c>
      <x:c r="J129" t="str">
        <x:v>المؤهلات في السيرة الذاتية تخص مجالات ai researcher فقط، ولا توجد خبرة سابقة في مسؤوليات Medical Billing - NextGen.</x:v>
      </x:c>
      <x:c r="K129" t="n">
        <x:v>0</x:v>
      </x:c>
      <x:c r="L129" t="str">
        <x:v>تقييم مستقل: المرشح مركز تماماً على مجال ai researcher وهو بعيد عن النطاق التشغيلي لدور Medical Billing - NextGen.</x:v>
      </x:c>
      <x:c r="M129" t="n">
        <x:v>0</x:v>
      </x:c>
      <x:c r="N129" t="n">
        <x:v>0</x:v>
      </x:c>
    </x:row>
    <x:row r="130">
      <x:c r="A130" t="inlineStr">
        <x:is>
          <x:t xml:space="preserve">RR-129</x:t>
        </x:is>
      </x:c>
      <x:c r="B130" t="inlineStr">
        <x:is>
          <x:t xml:space="preserve">CV-28</x:t>
        </x:is>
      </x:c>
      <x:c r="C130" t="inlineStr">
        <x:is>
          <x:t xml:space="preserve">degree: bachelors. experience level: mid-level. target role: ai specialist. skills: tensorflow, neural networks, deep learning, machine learning, nlp.</x:t>
        </x:is>
      </x:c>
      <x:c r="D130" t="inlineStr">
        <x:is>
          <x:t xml:space="preserve">Front Desk Manager</x:t>
        </x:is>
      </x:c>
      <x:c r="E130" t="inlineStr">
        <x:is>
          <x:t xml:space="preserve">Front Desk Manager We have an immediate opening for a talented Front Desk Manager for one of our most prestigious clients in the Needham area. We are looking for someone who is willing to think outside of the box and help create new initiatives. This is an opportunity that not only offers the chance for networking but there is also lots of room for growth. The previous Front Desk Manager was promoted to Office Manager. Responsibilities: - Answering phones throughout the day in a kind and courteous manner - Delivering mail to the appropriate staff members - Entering data into a specialized scheduling system - Some light calendar management work and travel arrangements - Customer service via email, phones, and in person</x:t>
        </x:is>
      </x:c>
      <x:c r="F130" t="inlineStr">
        <x:is>
          <x:t xml:space="preserve">- Access to a vehicle on a daily basis - Any hotel, concierge, secretary, or admin backgrounds are encouraged to apply! Recent Grads are also welcome! - At least 6 months phones experience in an office environment in the last 6 months - Must be available immediately, as we are looking to fill this role as soon as possible PSG job postings are either actual positions we had available at the time of posting and/or are representative of positions we typically fill or expect to fill. Our fees are paid by our client companies, so services to candidates are completely free. If you see a job that interests you, respond to the ad or give us a call so that we can help you find a job you'll love. As one of the area's largest staffing firms, we helped almost 5,000 people find jobs this year so chances are good that we can help you too. There are no costs for candidates utilizing our services as our clients pay for all related hiring fees. If you are interested in other opportunities currently available through our firm please visit our website at www.psgstaffing.com .</x:t>
        </x:is>
      </x:c>
      <x:c r="G130" t="inlineStr">
        <x:is>
          <x:t xml:space="preserve">NEEDHAM</x:t>
        </x:is>
      </x:c>
      <x:c r="H130" t="inlineStr">
        <x:is>
          <x:t xml:space="preserve">MA</x:t>
        </x:is>
      </x:c>
      <x:c r="I130" t="n">
        <x:v>0</x:v>
      </x:c>
      <x:c r="J130" t="str">
        <x:v>المرشح غير مناسب لشاغر Front Desk Manager؛ توجهه المهني والمهارات المذكورة تنحصر في تخصص ai specialist.</x:v>
      </x:c>
      <x:c r="K130" t="n">
        <x:v>0</x:v>
      </x:c>
      <x:c r="L130" t="str">
        <x:v>استبعاد: الفجوة كبيرة في المهارات بين التخصص المستهدف (ai specialist) والمسؤوليات المحددة لـ Front Desk Manager.</x:v>
      </x:c>
      <x:c r="M130" t="n">
        <x:v>0</x:v>
      </x:c>
      <x:c r="N130" t="n">
        <x:v>0</x:v>
      </x:c>
    </x:row>
    <x:row r="131">
      <x:c r="A131" t="inlineStr">
        <x:is>
          <x:t xml:space="preserve">RR-130</x:t>
        </x:is>
      </x:c>
      <x:c r="B131" t="inlineStr">
        <x:is>
          <x:t xml:space="preserve">CV-29</x:t>
        </x:is>
      </x:c>
      <x:c r="C131" t="inlineStr">
        <x:is>
          <x:t xml:space="preserve">degree: bachelors. experience level: senior-level. target role: dentist. skills: anatomy, orthodontics, oral health, patient care, oral hygiene.</x:t>
        </x:is>
      </x:c>
      <x:c r="D131" t="inlineStr">
        <x:is>
          <x:t xml:space="preserve">Recieving &amp; Packing Warehouse Associate</x:t>
        </x:is>
      </x:c>
      <x:c r="E131" t="inlineStr">
        <x:is>
          <x:t xml:space="preserve">Receiving, picking, packing warehouse associate JOB DUTIES - Assure accurate receipt of products following standard warehouse procedures - Checks all shipments for accuracy - Assisting with unloading of freight - Maintains inventory counts on a weekly and quarterly basis - Assures the warehouse is organized and kept in orderly fashion - Ability to work on warehouse floor alongside staff - Perform at 100% accuracy rate - Work safely and follow safety guidelines - Ship all orders on time, in full, and error free. - Fully understands the flow of all processes and equipment in all departments - Inventory and ordering of supplies as needed - Other duties as assigned</x:t>
        </x:is>
      </x:c>
      <x:c r="F131" t="inlineStr">
        <x:is>
          <x:t xml:space="preserve">REQUIREMENTS - High School Diploma or equivalent. College diploma preferred - 2 to 4 years experience in a warehouse setting - Must live within a 15-20 minute drive of Mooresville, NC - Must be computer savvy - Advanced knowledge of UPS, FEDEX, and LTL a must - Mechanically inclined - Able to work well with others - Ability to take initiative, maintain confidentiality, meet deadlines, and work in a team environment - Able to handle the fluctuating temperatures of a warehouse - Must be in good physical shape. - Must be able to lift up to 50 lbs - Stand up to 8 hours a day 5-6 days a week - Must be able to work weekends with little or no notice. (rarely) - Excellent math skills required - Complete background check and drug screening required This will be a part time position with the possibility of going full time. Hours will be Monday and Tuesday, 9:00 AM until around 5:00 PM Starting pay will be $8.00 an hour + bonus. Please email resume and cover letter.</x:t>
        </x:is>
      </x:c>
      <x:c r="G131" t="inlineStr">
        <x:is>
          <x:t xml:space="preserve">MOORESVILLE</x:t>
        </x:is>
      </x:c>
      <x:c r="H131" t="inlineStr">
        <x:is>
          <x:t xml:space="preserve">NC</x:t>
        </x:is>
      </x:c>
      <x:c r="I131" t="n">
        <x:v>0</x:v>
      </x:c>
      <x:c r="J131" t="str">
        <x:v>لا يوجد أي تقاطع مهني بين دور Recieving &amp; Packing Warehouse Associate المطلوبة والاهتمام المهني للمرشح كـ dentist.</x:v>
      </x:c>
      <x:c r="K131" t="n">
        <x:v>0</x:v>
      </x:c>
      <x:c r="L131" t="str">
        <x:v>ملاحظة المراجع الثاني: بعد التدقيق، لا توجد خبرة عمل معتمدة تتناسب مع متطلبات وظيفة Recieving &amp; Packing Warehouse Associate.</x:v>
      </x:c>
      <x:c r="M131" t="n">
        <x:v>0</x:v>
      </x:c>
      <x:c r="N131" t="n">
        <x:v>0</x:v>
      </x:c>
    </x:row>
    <x:row r="132">
      <x:c r="A132" t="inlineStr">
        <x:is>
          <x:t xml:space="preserve">RR-131</x:t>
        </x:is>
      </x:c>
      <x:c r="B132" t="inlineStr">
        <x:is>
          <x:t xml:space="preserve">CV-07</x:t>
        </x:is>
      </x:c>
      <x:c r="C132" t="inlineStr">
        <x:is>
          <x:t xml:space="preserve">degree: bachelors. experience level: senior-level. target role: operations manager. skills: project management, leadership, supply chain management, customer service, risk management.</x:t>
        </x:is>
      </x:c>
      <x:c r="D132" t="inlineStr">
        <x:is>
          <x:t xml:space="preserve">Project Manager</x:t>
        </x:is>
      </x:c>
      <x:c r="E132" t="inlineStr">
        <x:is>
          <x:t xml:space="preserve">Brintons Fine Carpet, a globally renowned creator of high quality carpet, has an immediate opening for a Project Manager for their US operations. The Project Manager has total responsibility for the overall shaping and coordination of complex projects from inception to completion aimed at meeting the client’s requirements, while ensuring on time completion, adhering to budget requirements and guaranteeing the high standards Britons is known for. The Project Manager will work to a controlled process of initiating, planning, executing and closing down existing projects successfully and also be responsible for generating and winning new business. Responsibilities include, but are not limited to: Review of all projects to determine their routing Control of pre-order and post-order activity on projects Timely and pro-active supply of all aspects of service Shaping of projects to deliver customer requirements, while maximizing profitability Liaison with and provision of accurate and comprehensive briefs for all internal support services Adherence to commercial authority manual rules</x:t>
        </x:is>
      </x:c>
      <x:c r="F132" t="inlineStr">
        <x:is>
          <x:t xml:space="preserve">Qualified candidates must have a Bachelor’s degree and a minimum of (4) years experience in a Project Management role. Industry specific experience is preferred! Must have a thorough knowledge of sales process, routes to market, knowledge of manufacturing processes and installation methods. Must be proficient in Microsoft office software and have experience with a CRM system and excellent AutoCad proficiency. Successful candidate will be self-starters, posses an energetic personality, have the ability to work independently, as well as with a team with a proactive approach and an eagerness to learn. Excellent written and oral communication skills are a must! We offer a competitive salary, full benefits and many other perks! Highly motivated, articulate and customer focused candidates are encouraged to apply in confidence to: bbatkoski@oasisadvantage.com. EOE</x:t>
        </x:is>
      </x:c>
      <x:c r="G132" t="inlineStr">
        <x:is>
          <x:t xml:space="preserve">KENNESAW</x:t>
        </x:is>
      </x:c>
      <x:c r="H132" t="inlineStr">
        <x:is>
          <x:t xml:space="preserve">GA</x:t>
        </x:is>
      </x:c>
      <x:c r="I132" t="n">
        <x:v>1</x:v>
      </x:c>
      <x:c r="J132" t="str">
        <x:v>قبول مبدئي: المرشح يمتلك أساسيات قوية، لكن طبيعة دور Project Manager تختلف عن اهتمامه الرئيسي كـ operations manager.</x:v>
      </x:c>
      <x:c r="K132" t="n">
        <x:v>0</x:v>
      </x:c>
      <x:c r="L132" t="str">
        <x:v>تقييم مستقل: المرشح مركز تماماً على مجال operations manager وهو بعيد عن النطاق التشغيلي لدور Project Manager.</x:v>
      </x:c>
      <x:c r="M132" t="n">
        <x:v>1</x:v>
      </x:c>
      <x:c r="N132" t="n">
        <x:v>1</x:v>
      </x:c>
    </x:row>
    <x:row r="133">
      <x:c r="A133" t="inlineStr">
        <x:is>
          <x:t xml:space="preserve">RR-132</x:t>
        </x:is>
      </x:c>
      <x:c r="B133" t="inlineStr">
        <x:is>
          <x:t xml:space="preserve">CV-13</x:t>
        </x:is>
      </x:c>
      <x:c r="C133" t="inlineStr">
        <x:is>
          <x:t xml:space="preserve">degree: bachelors. experience level: senior-level. target role: biomedical engineer. skills: clinical trials, medical devices, engineering, research, regulatory compliance.</x:t>
        </x:is>
      </x:c>
      <x:c r="D133" t="inlineStr">
        <x:is>
          <x:t xml:space="preserve">Medical</x:t>
        </x:is>
      </x:c>
      <x:c r="E133" t="inlineStr">
        <x:is>
          <x:t xml:space="preserve">MEDICAL OFFICE MANAGER with experience, reliable, accountable email: jsmdpeds@bellsouth.net Source - Miami Herald</x:t>
        </x:is>
      </x:c>
      <x:c r="F133" t="inlineStr">
        <x:is>
          <x:t xml:space="preserve">Please refer to the Job Description to view the requirements for this job</x:t>
        </x:is>
      </x:c>
      <x:c r="G133" t="inlineStr">
        <x:is>
          <x:t xml:space="preserve">MIAMI</x:t>
        </x:is>
      </x:c>
      <x:c r="H133" t="inlineStr">
        <x:is>
          <x:t xml:space="preserve">FL</x:t>
        </x:is>
      </x:c>
      <x:c r="I133" t="n">
        <x:v>0</x:v>
      </x:c>
      <x:c r="J133" t="str">
        <x:v>عدم مطابقة: خبرات المرشح موجهة نحو biomedical engineer، وهي بعيدة عن متطلبات دور Medical.</x:v>
      </x:c>
      <x:c r="K133" t="n">
        <x:v>0</x:v>
      </x:c>
      <x:c r="L133" t="str">
        <x:v>استبعاد: الفجوة كبيرة في المهارات بين التخصص المستهدف (biomedical engineer) والمسؤوليات المحددة لـ Medical.</x:v>
      </x:c>
      <x:c r="M133" t="n">
        <x:v>0</x:v>
      </x:c>
      <x:c r="N133" t="n">
        <x:v>0</x:v>
      </x:c>
    </x:row>
    <x:row r="134">
      <x:c r="A134" t="inlineStr">
        <x:is>
          <x:t xml:space="preserve">RR-133</x:t>
        </x:is>
      </x:c>
      <x:c r="B134" t="inlineStr">
        <x:is>
          <x:t xml:space="preserve">CV-05</x:t>
        </x:is>
      </x:c>
      <x:c r="C134" t="inlineStr">
        <x:is>
          <x:t xml:space="preserve">degree: masters. experience level: senior-level. target role: database administrator. skills: optimization, cloud databases, sql, database management, performance tuning.</x:t>
        </x:is>
      </x:c>
      <x:c r="D134" t="inlineStr">
        <x:is>
          <x:t xml:space="preserve">Entry Level Human Resources Assistant</x:t>
        </x:is>
      </x:c>
      <x:c r="E134" t="inlineStr">
        <x:is>
          <x:t xml:space="preserve">A dynamic Human Resources team is looking for an HR Assistant who is driven and motivated. Would like someone with an interest in HR. 0-1 year of experience. Hours: 8:30-5:30 (flexible for paid Over time) Job Overview: The Human Resources Assistant provides overall administrative support to the HR team. They will serve as the first point of contact for general HR inquiries regarding payroll, policies, procedures, trainings, and programs. Job Responsibilies: Process all paperwork, and assist with overflow, track freelance timesheets, assist with follow up Manage and maintain heavy HR calendars, schedule interviews, meetings, trainings, and appointments Answer and screen all calls Maintain and update employee vacation calendars Run ad hoc reports, and aid in special projects Handle new hire orientation, create and process new hire packets, organize and maintain employee files Onboarding new hires and freelancers, acting as the first point of contact Invoice tracking and processing Handle employment verification letters Assist in the preparation of budgets and reports for finance Help manage the summer internship program if applicable</x:t>
        </x:is>
      </x:c>
      <x:c r="F134" t="inlineStr">
        <x:is>
          <x:t xml:space="preserve">Bachelor’s degree Previous administrative or HR experience a plus Strong oral and written communications, organization, and interpersonal skills Professional and positive attitude Strong Microsoft Excel, PowerPoint, Word, and Outlook a plus</x:t>
        </x:is>
      </x:c>
      <x:c r="G134" t="inlineStr">
        <x:is>
          <x:t xml:space="preserve">NEW YORK</x:t>
        </x:is>
      </x:c>
      <x:c r="H134" t="inlineStr">
        <x:is>
          <x:t xml:space="preserve">NY</x:t>
        </x:is>
      </x:c>
      <x:c r="I134" t="n">
        <x:v>0</x:v>
      </x:c>
      <x:c r="J134" t="str">
        <x:v>المؤهلات في السيرة الذاتية تخص مجالات database administrator فقط، ولا توجد خبرة سابقة في مسؤوليات Entry Level Human Resources Assistant.</x:v>
      </x:c>
      <x:c r="K134" t="n">
        <x:v>0</x:v>
      </x:c>
      <x:c r="L134" t="str">
        <x:v>ملاحظة المراجع الثاني: بعد التدقيق، لا توجد خبرة عمل معتمدة تتناسب مع متطلبات وظيفة Entry Level Human Resources Assistant.</x:v>
      </x:c>
      <x:c r="M134" t="n">
        <x:v>0</x:v>
      </x:c>
      <x:c r="N134" t="n">
        <x:v>0</x:v>
      </x:c>
    </x:row>
    <x:row r="135">
      <x:c r="A135" t="inlineStr">
        <x:is>
          <x:t xml:space="preserve">RR-134</x:t>
        </x:is>
      </x:c>
      <x:c r="B135" t="inlineStr">
        <x:is>
          <x:t xml:space="preserve">CV-01</x:t>
        </x:is>
      </x:c>
      <x:c r="C135" t="inlineStr">
        <x:is>
          <x:t xml:space="preserve">degree: bachelors. experience level: mid-level. target role: fitness coach. skills: injury prevention, motivation, nutrition, health coaching, strength training.</x:t>
        </x:is>
      </x:c>
      <x:c r="D135" t="inlineStr">
        <x:is>
          <x:t xml:space="preserve">General Manager</x:t>
        </x:is>
      </x:c>
      <x:c r="E135" t="inlineStr">
        <x:is>
          <x:t xml:space="preserve">Great opportunity in the health and fitness industry working for the “Authority in Fitness"! Gold's Gym Fullerton is curently looking for a General Manager for this great location! We are seeking a dynamic, ambitious General Manager!! This is a growing company offering competitive salary, bonuses, commissions and benefits. Responsibilities will include managing all operational duties including the front desk, customers service, front desk staff. If you have the skills, personality and ambition, do not hesitate contact us immediately. This position is available immediately, please forward cover letter, resume and salary history for immediate consideration. Thank you.</x:t>
        </x:is>
      </x:c>
      <x:c r="F135" t="inlineStr">
        <x:is>
          <x:t xml:space="preserve">Requirements: -Strong Work Ethic -Self-Starter -Team Leader Mentality -Staff Training -Sales of Juice Bar, Tanning, Childcare -Self Motivated-Fast Learning -Responsible -2+ Years of Health Club experience.</x:t>
        </x:is>
      </x:c>
      <x:c r="G135" t="inlineStr">
        <x:is>
          <x:t xml:space="preserve">FULLERTON</x:t>
        </x:is>
      </x:c>
      <x:c r="H135" t="inlineStr">
        <x:is>
          <x:t xml:space="preserve">CA</x:t>
        </x:is>
      </x:c>
      <x:c r="I135" t="n">
        <x:v>0</x:v>
      </x:c>
      <x:c r="J135" t="str">
        <x:v>المرشح غير مناسب لشاغر General Manager؛ توجهه المهني والمهارات المذكورة تنحصر في تخصص fitness coach.</x:v>
      </x:c>
      <x:c r="K135" t="n">
        <x:v>0</x:v>
      </x:c>
      <x:c r="L135" t="str">
        <x:v>تقييم مستقل: المرشح مركز تماماً على مجال fitness coach وهو بعيد عن النطاق التشغيلي لدور General Manager.</x:v>
      </x:c>
      <x:c r="M135" t="n">
        <x:v>0</x:v>
      </x:c>
      <x:c r="N135" t="n">
        <x:v>0</x:v>
      </x:c>
    </x:row>
    <x:row r="136">
      <x:c r="A136" t="inlineStr">
        <x:is>
          <x:t xml:space="preserve">RR-135</x:t>
        </x:is>
      </x:c>
      <x:c r="B136" t="inlineStr">
        <x:is>
          <x:t xml:space="preserve">CV-17</x:t>
        </x:is>
      </x:c>
      <x:c r="C136" t="inlineStr">
        <x:is>
          <x:t xml:space="preserve">degree: bachelors. experience level: senior-level. target role: content writer. skills: research, creative writing, blogging, editing, communication.</x:t>
        </x:is>
      </x:c>
      <x:c r="D136" t="inlineStr">
        <x:is>
          <x:t xml:space="preserve">HR Generalist</x:t>
        </x:is>
      </x:c>
      <x:c r="E136" t="inlineStr">
        <x:is>
          <x:t xml:space="preserve">Manufacturing company in the Alpharetta area is currently expanding their team! Company is hiring and outgoing and motivated HR Generalist to work in the HR Department and support the HR Manager. As an HR Generalist the role will involve, but is not limited to, the following: Recruiting candidates and handling job postings for open positions Handling new hire orientation and benefits administration Assisting with payroll functions (multi-state experience a plus!) Reconciliation of medical benefits &amp; 401K reports Auditing employee records &amp; updating payroll deductions Assisting with various HR related reports as needed Maintaining confidential employee files Additional duties as assigned</x:t>
        </x:is>
      </x:c>
      <x:c r="F136" t="inlineStr">
        <x:is>
          <x:t xml:space="preserve">Candidates should also have the following skill set and background: Strong organizational skills and ability to multi-task Math skills in order to handle various reports and payroll processing Solid communication skills both written and verbal Outgoing and driven personality with the ability to take initiative and projects Professional and polished demeanor Bachelors Degree desired Compensation: $40-48,000 Depending on Experience All interested candidates; please email your resume to Ashley.Perkins@expresspros.com . Thank you for your interest!</x:t>
        </x:is>
      </x:c>
      <x:c r="G136" t="inlineStr">
        <x:is>
          <x:t xml:space="preserve">ALPHARETTA</x:t>
        </x:is>
      </x:c>
      <x:c r="H136" t="inlineStr">
        <x:is>
          <x:t xml:space="preserve">GA</x:t>
        </x:is>
      </x:c>
      <x:c r="I136" t="n">
        <x:v>0</x:v>
      </x:c>
      <x:c r="J136" t="str">
        <x:v>لا يوجد أي تقاطع مهني بين دور HR Generalist المطلوبة والاهتمام المهني للمرشح كـ content writer.</x:v>
      </x:c>
      <x:c r="K136" t="n">
        <x:v>1</x:v>
      </x:c>
      <x:c r="L136" t="str">
        <x:v>قبول مشروط: الخلفية المهنية قريبة نسبياً لـ HR Generalist، لكن يحتاج لتدريب على المهام الأساسية.</x:v>
      </x:c>
      <x:c r="M136" t="n">
        <x:v>0</x:v>
      </x:c>
      <x:c r="N136" t="n">
        <x:v>0</x:v>
      </x:c>
    </x:row>
    <x:row r="137">
      <x:c r="A137" t="inlineStr">
        <x:is>
          <x:t xml:space="preserve">RR-136</x:t>
        </x:is>
      </x:c>
      <x:c r="B137" t="inlineStr">
        <x:is>
          <x:t xml:space="preserve">CV-15</x:t>
        </x:is>
      </x:c>
      <x:c r="C137" t="inlineStr">
        <x:is>
          <x:t xml:space="preserve">degree: masters. experience level: mid-level. target role: systems analyst. skills: data analysis, systems integration, project management, sql, business process modeling.</x:t>
        </x:is>
      </x:c>
      <x:c r="D137" t="inlineStr">
        <x:is>
          <x:t xml:space="preserve">Data Entry Processor</x:t>
        </x:is>
      </x:c>
      <x:c r="E137" t="inlineStr">
        <x:is>
          <x:t xml:space="preserve">Position: Data Entry Processor Category: Banking Shift: Days Open Date: 5/25/2012 Expire Date: 6/24/2012 Date First Posted: 5/25/2012 2:21:27 PM NEFCU is a growing, full service financial institution dedicated to providing high value financial products and exceptional service. If you share our service dedication, share your resume with us. Full-time positions offer an excellent benefit package including Medical, Dental, Prescription, 401K and Pension. Salary will commensurate with experience. The Data Processor will be responsible for a variety of duties including: Processing transactions mailed to the Credit Union including, but not limited to, deposits, transfers, loans and visa payments, term certificate maintenance, closeouts, and withdrawals Processing new accounts and complex account maintenance requests Scanning checks via branch capture system for all checks received and processed in the department Preparing and encoding bonds redeemed at branch level for forwarding to the Federal Reserve Bank for collections</x:t>
        </x:is>
      </x:c>
      <x:c r="F137" t="inlineStr">
        <x:is>
          <x:t xml:space="preserve">Experience Level: 1-3 Years Education Level: High School/G.E.D. High school diploma Strong analystical skills with excellent aptitude for figures Ability to function in a high-volume environment with minimum supervision Excellent verbal communication skills, including the ability to handle difficult situations with tact, empathy, and professionalism. Ability to handle multiple tasks and prioritize properly Computer literate with working knowledge of Microsoft Word</x:t>
        </x:is>
      </x:c>
      <x:c r="G137" t="inlineStr">
        <x:is>
          <x:t xml:space="preserve">WESTBURY</x:t>
        </x:is>
      </x:c>
      <x:c r="H137" t="inlineStr">
        <x:is>
          <x:t xml:space="preserve">NY</x:t>
        </x:is>
      </x:c>
      <x:c r="I137" t="n">
        <x:v>0</x:v>
      </x:c>
      <x:c r="J137" t="str">
        <x:v>المرشح مستهدف العمل كـ systems analyst، بينما الوظيفة المعروضة هي Data Entry Processor. الاختلاف كبير في طبيعة المهام والمسار المهني.</x:v>
      </x:c>
      <x:c r="K137" t="n">
        <x:v>1</x:v>
      </x:c>
      <x:c r="L137" t="str">
        <x:v>تقييم مستقل: توجد مهارات عامة يمكن الاستفادة منها، ولكن التأهيل غير مكتمل لوظيفة Data Entry Processor.</x:v>
      </x:c>
      <x:c r="M137" t="n">
        <x:v>0</x:v>
      </x:c>
      <x:c r="N137" t="n">
        <x:v>0</x:v>
      </x:c>
    </x:row>
    <x:row r="138">
      <x:c r="A138" t="inlineStr">
        <x:is>
          <x:t xml:space="preserve">RR-137</x:t>
        </x:is>
      </x:c>
      <x:c r="B138" t="inlineStr">
        <x:is>
          <x:t xml:space="preserve">CV-13</x:t>
        </x:is>
      </x:c>
      <x:c r="C138" t="inlineStr">
        <x:is>
          <x:t xml:space="preserve">degree: bachelors. experience level: senior-level. target role: biomedical engineer. skills: clinical trials, medical devices, engineering, research, regulatory compliance.</x:t>
        </x:is>
      </x:c>
      <x:c r="D138" t="inlineStr">
        <x:is>
          <x:t xml:space="preserve">Customer Service / Administrative Support</x:t>
        </x:is>
      </x:c>
      <x:c r="E138" t="inlineStr">
        <x:is>
          <x:t xml:space="preserve">Duties include answering phones, filing, and helping clients in person and over the phone. Hours are 8:00am - 5:00pm Monday - Friday. Benefits. Andrews Filter is a drug free workplace. You can also fax your resume to 407-422-3710. No phone calls please. Requirements &amp; Responsibilities Acts as primary contact with walk-in and phone clients. Greet clients and guests entering the office. Explains benefits of various products. Answer multi-line phone system; screen and direct calls Take &amp; relay messages; provide information to callers Take &amp; enter data for client product orders Input data for daily Fedex deliveries Must have general computing skills (MS Word, MS Excel) Professional demeanor via phone and in person required Must be punctual and reliable Must be able to pass background check Assist with general office tasks and filing, and other duties as assigned Source - Orlando Sentinel</x:t>
        </x:is>
      </x:c>
      <x:c r="F138" t="inlineStr">
        <x:is>
          <x:t xml:space="preserve">Please refer to the Job Description to view the requirements for this job</x:t>
        </x:is>
      </x:c>
      <x:c r="G138" t="inlineStr">
        <x:is>
          <x:t xml:space="preserve">ORLANDO</x:t>
        </x:is>
      </x:c>
      <x:c r="H138" t="inlineStr">
        <x:is>
          <x:t xml:space="preserve">FL</x:t>
        </x:is>
      </x:c>
      <x:c r="I138" t="n">
        <x:v>0</x:v>
      </x:c>
      <x:c r="J138" t="str">
        <x:v>عدم مطابقة: خبرات المرشح موجهة نحو biomedical engineer، وهي بعيدة عن متطلبات دور Customer Service / Administrative Support.</x:v>
      </x:c>
      <x:c r="K138" t="n">
        <x:v>0</x:v>
      </x:c>
      <x:c r="L138" t="str">
        <x:v>تقييم مستقل: المرشح مركز تماماً على مجال biomedical engineer وهو بعيد عن النطاق التشغيلي لدور Customer Service / Administrative Support.</x:v>
      </x:c>
      <x:c r="M138" t="n">
        <x:v>0</x:v>
      </x:c>
      <x:c r="N138" t="n">
        <x:v>0</x:v>
      </x:c>
    </x:row>
    <x:row r="139">
      <x:c r="A139" t="inlineStr">
        <x:is>
          <x:t xml:space="preserve">RR-138</x:t>
        </x:is>
      </x:c>
      <x:c r="B139" t="inlineStr">
        <x:is>
          <x:t xml:space="preserve">CV-27</x:t>
        </x:is>
      </x:c>
      <x:c r="C139" t="inlineStr">
        <x:is>
          <x:t xml:space="preserve">degree: phd. experience level: senior-level. target role: cloud architect. skills: azure, scalability, solution architecture, aws, cloud computing.</x:t>
        </x:is>
      </x:c>
      <x:c r="D139" t="inlineStr">
        <x:is>
          <x:t xml:space="preserve">Network Operations Manager</x:t>
        </x:is>
      </x:c>
      <x:c r="E139" t="inlineStr">
        <x:is>
          <x:t xml:space="preserve">Network Operations Manager Atlanta, GA Full-time Summary The primary responsibility of this position is to work closely with the Technology Department Management team in overseeing and streamlining the operations of the IT department and to ensure it aligns with the business objectives of the organization. The principal goals are to: Manage and maintain the network infrastructure. Manage and maintain all hardware including, but not limited to Windows servers including Exchange 2010, Linux servers, an Endian redundant firewall, and a variety of switches and networking equipment. Manage application portfolios for each department. Attain and maintain all IT service level agreements. Work very closely with Technology Department Management team in planning, coordinating and directing all operational activities of the IT department. Provide direction and support for IT solutions that enhance mission-critical business operations. Work closely with decision makers in other departments to identify, recommend, develop, implement, and support cost-effective technology solutions for all aspects of the organization. Manage, coach and develop the technical team reporting to this function. 75% - Operational Management Where necessary, work with the IT team to re-engineer applications support to ensure it aligns with business processes, tactical planning, and strategic vision. Define and communicate project milestones, service level agreements, and resource allocation to key members of the Technology Department Management team. Develop and review budgets for IT function and ensure they comply with goals, guidelines and objectives. On a semi-annual basis review performance of IT systems to determine operating costs, productivity levels, and upgrades requirements. Benchmark, analyze, report on, and make recommendations for the improvement of the IT infrastructure and IT systems. Develop bid requirements for all hardware and software upgrades - reviews submitted bids for compliance with stated requirements and makes the appropriate award. Manage the deployment, monitoring, maintenance, development, and support of all hardware and software based on department needs. Develop business case justifications and cost/benefit analyses for IT spending and initiatives. Document Outages in Service Outage Report Log. Research potential technology solutions and implementations in support of new business initiatives. Oversee provision of end-user services, including help desk and technical support services. Develop, document, implement and maintain IT policies and procedures, including those for architecture, security, disaster recovery, standards, purchasing, and service provision. Oversee negotiation and administration of IT vendors and consultant contracts and service agreements. Establish and maintain regular written and in-person communications with the SVP regarding pertinent IT activities. 25% - Strategy &amp; Planning Formulate and deploy long-term strategic plans for acquiring and enabling efficient and cost-effective information processing and communication technologies. These are to be updated annually. Work closely with Technology Department Management team to Manage IT department’s operational and strategic planning, including business requirements, project planning, and organizing and negotiating the allocation of resources. Work with SVP and Finance Department to formulate annual technology capital budgets that align with short and long term business requirements. Demonstrate return on investment models for all enterprise-related IT investments. Supervisory Responsibilities Directly supervises two (2) employees in the Technology Services department. Carries out supervisory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Education University degree in the field of computer science or information systems, 10 years related work experience, and Microsoft Certified Technology Specialist a must. Master’s degree in either of these fields or Master of Business Administration with technology as a core component preferred. Experience VMware , Security, Apache, and Red Hat certifications preferred. Working knowledge of Mac systems. 10 years of experience managing and/or directing an IT operation. Proven experience in IT infrastructure strategic planning and development, project management, and policy development. Good understanding and technical knowledge of current network and PC operating systems, hardware, protocols, and standards, including but not limited to Virtualization, Cloud Computing, Linux and Microsoft operating systems. Experience with systems design and development from business requirements analysis through to day-to-day management. Knowledge of business theory, business processes, management, budgeting, and business office operations. Demonstrated ability to apply IT in solving business problems. Working knowledge of applicable laws and regulations as they relate to IT. Person will come in and look to upgrade MS Exchange and also start to virtualize servers . They have 67 servers and 25 will be virtualized (using VMware). Person will need to be able to put policies and procedures in place. David Howlett Director of Recruiting Staffing Technologies, LLC 678.338.2050 (Direct) davidh@staffingtechnologies.com www.staffingtechnologies.com</x:t>
        </x:is>
      </x:c>
      <x:c r="F139" t="inlineStr">
        <x:is>
          <x:t xml:space="preserve">Experience VMware , Security, Apache, and Red Hat certifications preferred. Working knowledge of Mac systems. 10 years of experience managing and/or directing an IT operation. Proven experience in IT infrastructure strategic planning and development, project management, and policy development. Good understanding and technical knowledge of current network and PC operating systems, hardware, protocols, and standards, including but not limited to Virtualization, Cloud Computing, Linux and Microsoft operating systems. Experience with systems design and development from business requirements analysis through to day-to-day management. Knowledge of business theory, business processes, management, budgeting, and business office operations. Demonstrated ability to apply IT in solving business problems. Working knowledge of applicable laws and regulations as they relate to IT.</x:t>
        </x:is>
      </x:c>
      <x:c r="G139" t="inlineStr">
        <x:is>
          <x:t xml:space="preserve">ATLANTA</x:t>
        </x:is>
      </x:c>
      <x:c r="H139" t="inlineStr">
        <x:is>
          <x:t xml:space="preserve">GA</x:t>
        </x:is>
      </x:c>
      <x:c r="I139" t="n">
        <x:v>1</x:v>
      </x:c>
      <x:c r="J139" t="str">
        <x:v>الخلفية المهنية قريبة نسبياً وتدعم بعض جوانب العمل في Network Operations Manager، إلا أن بعض المتطلبات تحتاج تدريب إضافي.</x:v>
      </x:c>
      <x:c r="K139" t="n">
        <x:v>1</x:v>
      </x:c>
      <x:c r="L139" t="str">
        <x:v>قبول مشروط: الخلفية المهنية قريبة نسبياً لـ Network Operations Manager، لكن يحتاج لتدريب على المهام الأساسية.</x:v>
      </x:c>
      <x:c r="M139" t="n">
        <x:v>1</x:v>
      </x:c>
      <x:c r="N139" t="n">
        <x:v>1</x:v>
      </x:c>
    </x:row>
    <x:row r="140">
      <x:c r="A140" t="inlineStr">
        <x:is>
          <x:t xml:space="preserve">RR-139</x:t>
        </x:is>
      </x:c>
      <x:c r="B140" t="inlineStr">
        <x:is>
          <x:t xml:space="preserve">CV-28</x:t>
        </x:is>
      </x:c>
      <x:c r="C140" t="inlineStr">
        <x:is>
          <x:t xml:space="preserve">degree: bachelors. experience level: mid-level. target role: ai specialist. skills: tensorflow, neural networks, deep learning, machine learning, nlp.</x:t>
        </x:is>
      </x:c>
      <x:c r="D140" t="inlineStr">
        <x:is>
          <x:t xml:space="preserve">Administrative Assistant / Receptionist</x:t>
        </x:is>
      </x:c>
      <x:c r="E140" t="inlineStr">
        <x:is>
          <x:t xml:space="preserve">A leading private investment firm with over $8.5 billion of capital under management is currently recruiting for an Administrative Assistant/Receptionist to be based in our Boston office. This position reports to the Corporate Administrative Support Manager. RESPONSIBILITIES INCLUDE: Provide administrative support to 3-4 investment professionals. Maintain calendars, scheduling of meetings, telephone, video and web conference calls Coordinate meal and catering for in-house events Coordinate extensive travel arrangements Compile and track expenses Create presentation packages Assist Office Manager in special projects and tasks when needed or as asked “Open and Close" the office on a daily basis (lobby lights, security access, etc.) Manage high volume switchboard and direct calls to appropriate employees/departments Log all incoming deliveries (packages and overnight letters) and alert intended recipients Ensure that outgoing mail is delivered to building mailbox or postal carrier every day Be alert and attentive to employee and visitor needs and whereabouts throughout the day</x:t>
        </x:is>
      </x:c>
      <x:c r="F140" t="inlineStr">
        <x:is>
          <x:t xml:space="preserve">The individual must possess: Minimum of 2 years administrative assistant experience, and 2 years receptionist experience Clear &amp; concise oral and written communications skills Positive attitude and professional appearance is essential as this position is considered the first point of contact for visitors, callers and clients. Previous experience with general office duties, including mid-level Microsoft Office Windows skills (Microsoft Word, Excel, and Outlook). Calendar maintenance and multi-leg travel coordination are strong pluses. Must be able to handle multiple tasks, prioritize responsibilities as well as be extremely organized. Excellent interpersonal skills with the ability to interact with internal and external clients while maintaining an upbeat attitude. NO PHONE CALLS PLEASE</x:t>
        </x:is>
      </x:c>
      <x:c r="G140" t="inlineStr">
        <x:is>
          <x:t xml:space="preserve">BOSTON</x:t>
        </x:is>
      </x:c>
      <x:c r="H140" t="inlineStr">
        <x:is>
          <x:t xml:space="preserve">MA</x:t>
        </x:is>
      </x:c>
      <x:c r="I140" t="n">
        <x:v>0</x:v>
      </x:c>
      <x:c r="J140" t="str">
        <x:v>المرشح غير مناسب لشاغر Administrative Assistant / Receptionist؛ توجهه المهني والمهارات المذكورة تنحصر في تخصص ai specialist.</x:v>
      </x:c>
      <x:c r="K140" t="n">
        <x:v>0</x:v>
      </x:c>
      <x:c r="L140" t="str">
        <x:v>ملاحظة المراجع الثاني: بعد التدقيق، لا توجد خبرة عمل معتمدة تتناسب مع متطلبات وظيفة Administrative Assistant / Receptionist.</x:v>
      </x:c>
      <x:c r="M140" t="n">
        <x:v>0</x:v>
      </x:c>
      <x:c r="N140" t="n">
        <x:v>0</x:v>
      </x:c>
    </x:row>
    <x:row r="141">
      <x:c r="A141" t="inlineStr">
        <x:is>
          <x:t xml:space="preserve">RR-140</x:t>
        </x:is>
      </x:c>
      <x:c r="B141" t="inlineStr">
        <x:is>
          <x:t xml:space="preserve">CV-14</x:t>
        </x:is>
      </x:c>
      <x:c r="C141" t="inlineStr">
        <x:is>
          <x:t xml:space="preserve">degree: masters. experience level: senior-level. target role: nurse. skills: compassion, medical terminology, healthcare, first aid, cpr.</x:t>
        </x:is>
      </x:c>
      <x:c r="D141" t="inlineStr">
        <x:is>
          <x:t xml:space="preserve">Caregiver</x:t>
        </x:is>
      </x:c>
      <x:c r="E141" t="inlineStr">
        <x:is>
          <x:t xml:space="preserve">Caregiver Caregivers are either CNA’S (Certified Nurse Aides) or PCPs (Personal Care Providers). Caregivers must be reliable, dependable, honest, and caring. Caregivers are not allowed to smoke in clients’ homes and must have their own transportation. Some may need to take clients to appointments or run errands. This will require them to possess a valid driver’s license and to have current automobile insurance. Caregivers must be observant enough to recognize changes in their clients, and be capable of alerting the appropriate personnel when necessary. Nature of job: Caregivers provide paraprofessional services to the agency’s home care clients, as assessed in the care plan and in compliance with the client’s Service Agreement. Scope of Position: Reports to Homewatch CareGivers supervisor . Does not administer medication or perform any procedures requiring the knowledge or skills of a licensed nurse or registered therapist. Major Responsibilities: Responsible for assisting the agency’s clients with their personal care needs in accordance with the care plan and qualifications (CNA/PCP/HHA). Responsible for assisting clients with activities of daily living in a safe and beneficial manner.</x:t>
        </x:is>
      </x:c>
      <x:c r="F141" t="inlineStr">
        <x:is>
          <x:t xml:space="preserve">Caregiver Knowledge, Skills, and Abilities Required: Experience as a caregiver in a home care setting or skilled facility. Must meet hiring criteria as defined in the agency’s minimum standards. Must be able to function with minimal supervision, accepting personal responsibility for maintaining a professional relationship with the client. Must accept responsibility for maintaining skills and learning on an ongoing basis, as well as adhering to agency policies. Able to comm unicate effectively. Physical Qualifications: Able to work an average of 20-40 hours per week. Able to bend, climb, stoop, and stand an average of 5 hours per day. Able to lift 20-30 pounds. Able to use tools necessary for job. Careerbuilder related keywords: caregiver, care giver, companion, cna, c.n.a., certified nursing assistant, certified nurse assistant, certified nurse's assistant, hha, h.a.a., home health aide, pca, p.c.a., personal care aide, pcp, p.c.p., personal care provider, homecare, home care, home health, home healthcare, eldercare, elder care, seniorcare, senior care, assisted living, hospice</x:t>
        </x:is>
      </x:c>
      <x:c r="G141" t="inlineStr">
        <x:is>
          <x:t xml:space="preserve">NORTHBROOK</x:t>
        </x:is>
      </x:c>
      <x:c r="H141" t="inlineStr">
        <x:is>
          <x:t xml:space="preserve">IL</x:t>
        </x:is>
      </x:c>
      <x:c r="I141" t="n">
        <x:v>1</x:v>
      </x:c>
      <x:c r="J141" t="str">
        <x:v>تقارب جزئي في المهارات العملية، ولكن يحتاج لمراجعة تفصيلية في المقابلة للتأكد من مدى ملاءمته لمهام Caregiver.</x:v>
      </x:c>
      <x:c r="K141" t="n">
        <x:v>1</x:v>
      </x:c>
      <x:c r="L141" t="str">
        <x:v>وجهة نظر ثانية: الملف يظهر بعض التقارب، لكني أرى ضرورة التأكد من المهارات التخصصية في المقابلة.</x:v>
      </x:c>
      <x:c r="M141" t="n">
        <x:v>1</x:v>
      </x:c>
      <x:c r="N141" t="n">
        <x:v>1</x:v>
      </x:c>
    </x:row>
    <x:row r="142">
      <x:c r="A142" t="inlineStr">
        <x:is>
          <x:t xml:space="preserve">RR-141</x:t>
        </x:is>
      </x:c>
      <x:c r="B142" t="inlineStr">
        <x:is>
          <x:t xml:space="preserve">CV-02</x:t>
        </x:is>
      </x:c>
      <x:c r="C142" t="inlineStr">
        <x:is>
          <x:t xml:space="preserve">degree: bachelors. experience level: mid-level. target role: physician. skills: healthcare, pharmacology, medical terminology, patient care, surgical skills.</x:t>
        </x:is>
      </x:c>
      <x:c r="D142" t="inlineStr">
        <x:is>
          <x:t xml:space="preserve">Registration Coordinator</x:t>
        </x:is>
      </x:c>
      <x:c r="E142" t="inlineStr">
        <x:is>
          <x:t xml:space="preserve">Date Posted: 05 / 04 / 2012 Facility: Baylor Surgicare at Carrollton Job Category: Business Office United Surgical Partners International is a company that specializes in the development and operation of Ambulatory Surgical Facilities in the U.S. and the UK. We provide first-class surgical services for local communities and recognize our employees as our number one assets. The Registration Coordinator interfaces with patients and families, physicians and staff. Admit patients and process their paperwork. Update patient demographics/information in system. Collect monies due and document in billing system. Handle funds per office procedure. You have the opportunity to meet new people and build professional relationships with physician offices. Cross training for other Business Office positions a possibility.</x:t>
        </x:is>
      </x:c>
      <x:c r="F142" t="inlineStr">
        <x:is>
          <x:t xml:space="preserve">Minimum Experience: 2 Preferred Experience: *High school graduate or equivalent. *One year previous experience or some hospital clerical experience or medical terminology preferred. *Must have the skills necessary to operate the office equipment required to fulfill job duties. *Forty-five (45) wpm typing skills required. *Medical terminology and computer experience beneficial *Good communication skills.</x:t>
        </x:is>
      </x:c>
      <x:c r="G142" t="inlineStr">
        <x:is>
          <x:t xml:space="preserve">CARROLLTON</x:t>
        </x:is>
      </x:c>
      <x:c r="H142" t="inlineStr">
        <x:is>
          <x:t xml:space="preserve">TX</x:t>
        </x:is>
      </x:c>
      <x:c r="I142" t="n">
        <x:v>0</x:v>
      </x:c>
      <x:c r="J142" t="str">
        <x:v>المرشح مستهدف العمل كـ physician، بينما الوظيفة المعروضة هي Registration Coordinator. الاختلاف كبير في طبيعة المهام والمسار المهني.</x:v>
      </x:c>
      <x:c r="K142" t="n">
        <x:v>0</x:v>
      </x:c>
      <x:c r="L142" t="str">
        <x:v>استبعاد: الفجوة كبيرة في المهارات بين التخصص المستهدف (physician) والمسؤوليات المحددة لـ Registration Coordinator.</x:v>
      </x:c>
      <x:c r="M142" t="n">
        <x:v>0</x:v>
      </x:c>
      <x:c r="N142" t="n">
        <x:v>0</x:v>
      </x:c>
    </x:row>
    <x:row r="143">
      <x:c r="A143" t="inlineStr">
        <x:is>
          <x:t xml:space="preserve">RR-142</x:t>
        </x:is>
      </x:c>
      <x:c r="B143" t="inlineStr">
        <x:is>
          <x:t xml:space="preserve">CV-03</x:t>
        </x:is>
      </x:c>
      <x:c r="C143" t="inlineStr">
        <x:is>
          <x:t xml:space="preserve">degree: phd. experience level: senior-level. target role: financial analyst. skills: forecasting, financial modelling, excel, budgeting, market research.</x:t>
        </x:is>
      </x:c>
      <x:c r="D143" t="inlineStr">
        <x:is>
          <x:t xml:space="preserve">Financial Analyst</x:t>
        </x:is>
      </x:c>
      <x:c r="E143" t="inlineStr">
        <x:is>
          <x:t xml:space="preserve">Basel Operations Center of Excellence (COE) requires a number of activities to support the warehouse and advanced reporting requirements. To meet the rapidly increasing operational environment changes, a position is required to analyze and track errors, GL Reconciliation issues and Finance to Credit Risk matching exceptions. The analyst requires a close working relationship with our Working Group leads, Product Control, Credit Risk, and CMB Technology partners. This position requires an individual who can investigate the root causes of issues, track and follow up on issues, demonstrating the ability to work independently as well as be a strong team member. Good communication skills and ability to investigate issues at a detailed level while working to tight deadlines is a key skill set, in addition to strong analytical and organizational skills with a robust working knowledge of Database models and related analysis tools (SQL, etc.). *Identifying errors, prioritizing material issues while facilitating the appropriate escalation process ensuring that ownership for corrective action is established and tracked on a daily basis. *Identifying General Ledger reconciliation issues through organized analysis managing correction actions including communication and escalation to conclusion. *Identifying Fin/Risk Matching breaks, prioritizing material issues while facilitating the appropriate escalation process ensuring that ownership for corrective action is established and tracked on a daily basis. *Following up with the source system owners of corrective actions until all issues are resolved on a monthly basis. Generate necessary reports (i.e. ODS Summary Report, GL Reconciliation Outstanding Items Reports and Trend Analysis, Fin/Risk Reconciliation Reports) *Distribute reports (i.e. ODS issues, GL Reconciliation Outstanding Items, Fin/Risk Reconciliation Month-on-Month) to appropriate Finance, Credit, IT stakeholders. Be prepared to discuss status and issues as required. *Coordinate with the Product Control / Technology / Credit Risk to prioritize the issues on the ODS and GL Reconciliation Summary Reports based on criticality and the trend analysis *Add items to MQC (Development Process) as appropriate and lead the investigation of root causes of exceptions until a business requirement is identified and documented. *Prepare and maintain adjustments based on predefined rules provided by Financial Control *Bachelor's degree in Finance, Accounting or equivalent experience. *5+ years Finance or Credit experience (Process and Systems) *Ability to multi-task under strict deadlines demonstrating independent leadership skills. *Possess strong team building and work skills driven by process improvement. *Superior communication skills. *Detail-oriented analytical skills. *Exposure to financial close month-end activities. *Knowledge of Basel II requirements. *Data Warehouse, Database models and related analysis tools (SQL, etc.). *Project Management skills. *Advanced Microsoft Excel skills required *Knowledge of Microsoft Access and Cognos is highly desired</x:t>
        </x:is>
      </x:c>
      <x:c r="F143" t="inlineStr">
        <x:is>
          <x:t xml:space="preserve">*Bachelor's degree in Finance, Accounting or equivalent experience. *5+ years Finance or Credit experience (Process and Systems) *Ability to multi-task under strict deadlines demonstrating independent leadership skills. *Possess strong team building and work skills driven by process improvement. *Superior communication skills. *Detail-oriented analytical skills. *Exposure to financial close month-end activities. *Knowledge of Basel II requirements. *Data Warehouse, Database models and related analysis tools (SQL, etc.). *Project Management skills. *Advanced Microsoft Excel skills required *Knowledge of Microsoft Access and Cognos is highly desired</x:t>
        </x:is>
      </x:c>
      <x:c r="G143" t="inlineStr">
        <x:is>
          <x:t xml:space="preserve">TAMPA</x:t>
        </x:is>
      </x:c>
      <x:c r="H143" t="inlineStr">
        <x:is>
          <x:t xml:space="preserve">FL</x:t>
        </x:is>
      </x:c>
      <x:c r="I143" t="n">
        <x:v>2</x:v>
      </x:c>
      <x:c r="J143" t="str">
        <x:v>تطابق ممتاز في المؤهلات والخبرات العملية مع الشاغر الوظيفي (Financial Analyst).</x:v>
      </x:c>
      <x:c r="K143" t="n">
        <x:v>2</x:v>
      </x:c>
      <x:c r="L143" t="str">
        <x:v>توصية بالمقابلة: المهارات والمؤهلات تتوافق تماماً مع الوصف الوظيفي لـ Financial Analyst.</x:v>
      </x:c>
      <x:c r="M143" t="n">
        <x:v>2</x:v>
      </x:c>
      <x:c r="N143" t="n">
        <x:v>2</x:v>
      </x:c>
    </x:row>
    <x:row r="144">
      <x:c r="A144" t="inlineStr">
        <x:is>
          <x:t xml:space="preserve">RR-143</x:t>
        </x:is>
      </x:c>
      <x:c r="B144" t="inlineStr">
        <x:is>
          <x:t xml:space="preserve">CV-10</x:t>
        </x:is>
      </x:c>
      <x:c r="C144" t="inlineStr">
        <x:is>
          <x:t xml:space="preserve">degree: phd. experience level: senior-level. target role: urban planner. skills: project management, policy analysis, gis, community engagement, urban development.</x:t>
        </x:is>
      </x:c>
      <x:c r="D144" t="inlineStr">
        <x:is>
          <x:t xml:space="preserve">Project Manager</x:t>
        </x:is>
      </x:c>
      <x:c r="E144" t="inlineStr">
        <x:is>
          <x:t xml:space="preserve">Project Manager for Ace Asphalt of Arizona Inc. Are you a seasoned Project Manager experienced in all aspects of Project Management ? Do you like a rapid growth / fast paced environment? Does working for the best grading and paving company in Arizona sound exciting to you ? If you answered yes to these questions, then read on. Ace Asphalt may be for you. Working at Ace Asphalt… Ace Asphalt’s Project Manager position will: Develop a great career with the leader in asphalt sales in Arizona. Take charge of new construction design coordination, production coordination, estimates, and all aspects of the estimating, take-off and project management / production process. Be a leader in the project management and estimating function in our high-energy company. Utilize your creativity in a fast paced, team-oriented environment. Partner with sales, new construction and paving portions of our business to exceed customer expectations. Ace Asphalt of Arizona is one of the largest parking lot construction and parking lot maintenance companies in the U.S. and the largest in Arizona. We are expanding to meet the demand for small jobs as well as large. Your New Position… Ace Asphalt, the leader in parking lot maintenance and construction is seeking a qualified Project Manager with five+ years experience to join our growing Phoenix Arizona based team as a Project Manager. Construction experience is required. This position includes focus on the following areas: Driving project management for all new construction and replacement construction projects. Actively managing all aspects of the bid, pre-construction and construction process. Monitoring job progress and reporting on progress to Ace Asphalt senior management. Building strong relationships with customers. Estimate / prepare and deliver sales proposals and bids to clients. . Visit job sites to ensure work progress and customer satisfaction. Complete change orders and ensure customer changes are included in overall job completion. Benefits of this position: Strong base salary and bonus package, depending on experience. Vehicle provided in most cases. Ability to participate in the Company sponsored 401k program. Opportunity to build a strong foundation for your career by working for a successful company. Over time, advancement and promotion opportunities are certainly a possibility. Ace Asphalt is located in Phoenix Arizona, and offers extraordinary career potential. Full benefits are provided and potential bonus opportunities exist. Ace Asphalt pays 100% of employee healthcare and benefit costs and also pays 50% of all benefit costs for your dependants. Applicants are accepted at this time for the Phoenix area only. If you have the skills necessary and want to build your own success story with an industry leader, please e-mail your resume to: Ace Asphalt Project Manager Position E-mail your Resume, Cover Letter and salary history to: Ace Asphalt Project Manager Position mccullom@aceasphalt.com For more information about Ace Asphalt of Arizona, please visit our website at www.aceasphalt.com Ace Asphalt of Arizona, Inc. is an equal opportunity employer.</x:t>
        </x:is>
      </x:c>
      <x:c r="F144" t="inlineStr">
        <x:is>
          <x:t xml:space="preserve">This position requires: Five+ years directly related construction project management experience. Proven track record of completing complex projects on-time and under budget. Ability to interact with multiple teams to complete projects. Strong computer and analytical skills. Effective organization skills. A strong track record of exceeding goals and quotas. Ability to develop dynamic, positive relationships with customers. Demonstrated project management success. Ability to use project management related computer tools. Enthusiasm, strong work ethic and teamwork. A Bachelors Degree or equivalent in an appropriate discipline is preferred.</x:t>
        </x:is>
      </x:c>
      <x:c r="G144" t="inlineStr">
        <x:is>
          <x:t xml:space="preserve">PHOENIX</x:t>
        </x:is>
      </x:c>
      <x:c r="H144" t="inlineStr">
        <x:is>
          <x:t xml:space="preserve">AZ</x:t>
        </x:is>
      </x:c>
      <x:c r="I144" t="n">
        <x:v>1</x:v>
      </x:c>
      <x:c r="J144" t="str">
        <x:v>قبول مبدئي: المرشح يمتلك أساسيات قوية، لكن طبيعة دور Project Manager تختلف عن اهتمامه الرئيسي كـ urban planner.</x:v>
      </x:c>
      <x:c r="K144" t="n">
        <x:v>1</x:v>
      </x:c>
      <x:c r="L144" t="str">
        <x:v>وجهة نظر ثانية: الملف يظهر بعض التقارب، لكني أرى ضرورة التأكد من المهارات التخصصية في المقابلة.</x:v>
      </x:c>
      <x:c r="M144" t="n">
        <x:v>1</x:v>
      </x:c>
      <x:c r="N144" t="n">
        <x:v>1</x:v>
      </x:c>
    </x:row>
    <x:row r="145">
      <x:c r="A145" t="inlineStr">
        <x:is>
          <x:t xml:space="preserve">RR-144</x:t>
        </x:is>
      </x:c>
      <x:c r="B145" t="inlineStr">
        <x:is>
          <x:t xml:space="preserve">CV-25</x:t>
        </x:is>
      </x:c>
      <x:c r="C145" t="inlineStr">
        <x:is>
          <x:t xml:space="preserve">degree: phd. experience level: senior-level. target role: graphic designer. skills: photo editing, branding, web design, adobe photoshop, typography.</x:t>
        </x:is>
      </x:c>
      <x:c r="D145" t="inlineStr">
        <x:is>
          <x:t xml:space="preserve">Coll Grad/Receptionist/Recruiting Assistant!!!</x:t>
        </x:is>
      </x:c>
      <x:c r="E145" t="inlineStr">
        <x:is>
          <x:t xml:space="preserve">A boutique staffing agency serving a large number of creative and financial clients is in need of a TEMP TO PERM Receptionist/Recruiting Assistant. This entry level role is ideal for someone with an interest in human resources who is interested in learning all aspects of working in a fast paced staffing support business. Responsibilities: Cover Reception desk, Answer and direct high volume phone calls Meet and greet candidate and clients Handle special projects as needed Maintain detailed and busy calendar Track and order supplies and manage vendor contacts Liaise with clients and recruiters Handle personal tasks as needed</x:t>
        </x:is>
      </x:c>
      <x:c r="F145" t="inlineStr">
        <x:is>
          <x:t xml:space="preserve">Strong computer skills (Advanced Outlook is a must) Intermediate Word and Excel are a must Access or other database experience is helpful Excellent written and verbal communication skills Must be personable and friendly on the phone and in person Must have a strong "customer service" attitude Proofreading experience helpful Bachelor's Degree preferred 1+ years General Administrative experience helpful</x:t>
        </x:is>
      </x:c>
      <x:c r="G145" t="inlineStr">
        <x:is>
          <x:t xml:space="preserve">NEW YORK</x:t>
        </x:is>
      </x:c>
      <x:c r="H145" t="inlineStr">
        <x:is>
          <x:t xml:space="preserve">NY</x:t>
        </x:is>
      </x:c>
      <x:c r="I145" t="n">
        <x:v>0</x:v>
      </x:c>
      <x:c r="J145" t="str">
        <x:v>المرشح غير مناسب لشاغر Coll Grad/Receptionist/Recruiting Assistant!!!؛ توجهه المهني والمهارات المذكورة تنحصر في تخصص graphic designer.</x:v>
      </x:c>
      <x:c r="K145" t="n">
        <x:v>0</x:v>
      </x:c>
      <x:c r="L145" t="str">
        <x:v>استبعاد: الفجوة كبيرة في المهارات بين التخصص المستهدف (graphic designer) والمسؤوليات المحددة لـ Coll Grad/Receptionist/Recruiting Assistant!!!.</x:v>
      </x:c>
      <x:c r="M145" t="n">
        <x:v>0</x:v>
      </x:c>
      <x:c r="N145" t="n">
        <x:v>0</x:v>
      </x:c>
    </x:row>
    <x:row r="146">
      <x:c r="A146" t="inlineStr">
        <x:is>
          <x:t xml:space="preserve">RR-145</x:t>
        </x:is>
      </x:c>
      <x:c r="B146" t="inlineStr">
        <x:is>
          <x:t xml:space="preserve">CV-21</x:t>
        </x:is>
      </x:c>
      <x:c r="C146" t="inlineStr">
        <x:is>
          <x:t xml:space="preserve">degree: bachelors. experience level: mid-level. target role: data analyst. skills: sql, data reporting, excel, statistics, data analysis.</x:t>
        </x:is>
      </x:c>
      <x:c r="D146" t="inlineStr">
        <x:is>
          <x:t xml:space="preserve">System Business Analyst</x:t>
        </x:is>
      </x:c>
      <x:c r="E146" t="inlineStr">
        <x:is>
          <x:t xml:space="preserve">This is an amazing opportunity to work in growing, stable organization! You will be responsible for understanding and improving the desired customer experience through support of existing tools, and driving internal tool enhancements. You will participate in the development of system requirements and specification document that contribute to on-time, on-quality, and on-budget project launches. Additionally, you will perform a critical role as a resource for application and system issues and support. Some of your duties: Create requirement and specification documents to support our internal tools and database reporting tools; Participates in the development of requirements that support business processes and new product launches; Translates product descriptions and/or business requirements into technical requirements; Designs and creates database schema and develops data warehouse design; Designs and creates data parsing applications in complex and dynamic data source environment; Extract data from multiple sources to maintain existing reporting and develop additional dashboards, customized scorecards, and results; Requires an understanding of relational and multi-dimensional databases and a strong familiarity with SQL (Structured Query Language) as well as the ability to design reports which displays complex data in a graphical and simple format; Gather input and requirements around reporting needs, determine feasibility, make recommendations, and implement continuous improvements to manager metrics; Research data integrity issues and determine database flaws; Consult with the Data Management team to ensure timely, accurate, and consistent data is available to end-users EXISTING SYSTEMS &amp; PROCESSES • Analyzes the efficiency of current systems, functions, procedures, and develops suggested changes required to enhance the performance of new or expanded functions • Determine and communicate relative cost/benefit of different alternatives to determine advisability of implementation • Provide daily user support on applications and processes utilized by our customers • Works with Vendor on trending / analyzing metrics • Define and improve repeatable processes including tools, techniques, and templates</x:t>
        </x:is>
      </x:c>
      <x:c r="F146" t="inlineStr">
        <x:is>
          <x:t xml:space="preserve">Bachelor’s Degree in a technical field - CS, Math, IT Industry Experience-Required Wireless, IT, programming or engineering background 1. Experience in user interface design and data base reporting Hands on experience with databases, software, and information systems. 2. Data Warehouse and Business Intelligence Design and Development Microsoft Analysis Server/OLAP Microsoft SQL Server 2000/2005 SQL, PL/SQL, 3. 6 + years experience with developing, modifying and using Enterprise Business Intelligence application tools. One of or a combination of (MicroStrategy, Business Objects, Cognos, MS software applications) 6 + years experience with data mining and Business Intelligence Analysis In-depth knowledge of SQL and Visual Basic for Applications (VBA) Advanced knowledge of Microsoft Excel and Access COMMUNICATIONS • Establishes and facilitates communication and consensus building across the enterprise to discuss new or revised plans, programs, procedures, and to ensure business and user requirements are met • Conducts regular requirements gathering meetings with Regional Project Managers, Business Owners and Technical Experts (e.g., IT and Engineering) • Communicates effectively in both verbal (e.g., day-to-day discussions, project team meetings, etc.) and written (requirements and design specification documents, code development, project status reports, day-to-day e-mail correspondence, meeting notes, project summaries, technical documentation, etc.) • Possesses an overall ability to be clear and concise in all communications TOOLS • Proficient in VB, Perl scripting, SQL statements, and data base reporting tools MicroStrategy • Proficient in data analytics, and data quality validation • Proficient in Microsoft Office applications (Word, Excel) and Microsoft Project, Access, Visio • Proficient with XML, multi-platform experience, Web-server and SQL Volt is an Equal Opportunity Employer Location: San Diego, CA Type: DIRECT Duration: Direct Pay Rate: DOE Contact: Volt Workforce Solutions (Clairemont) sandiego041399@volt.com 7490 Opportunity Rd., Ste. 300 San Diego, CA 92111 PH: 858/576-3140 FX: 858/576-1513</x:t>
        </x:is>
      </x:c>
      <x:c r="G146" t="inlineStr">
        <x:is>
          <x:t xml:space="preserve">SAN DIEGO</x:t>
        </x:is>
      </x:c>
      <x:c r="H146" t="inlineStr">
        <x:is>
          <x:t xml:space="preserve">CA</x:t>
        </x:is>
      </x:c>
      <x:c r="I146" t="n">
        <x:v>1</x:v>
      </x:c>
      <x:c r="J146" t="str">
        <x:v>توجد مهارات إدارية وتنظيمية مشتركة مع دور System Business Analyst، لكن المرشح ينقصه التخصص المباشر والخبرة الفنية الدقيقة.</x:v>
      </x:c>
      <x:c r="K146" t="n">
        <x:v>1</x:v>
      </x:c>
      <x:c r="L146" t="str">
        <x:v>تقييم مستقل: توجد مهارات عامة يمكن الاستفادة منها، ولكن التأهيل غير مكتمل لوظيفة System Business Analyst.</x:v>
      </x:c>
      <x:c r="M146" t="n">
        <x:v>1</x:v>
      </x:c>
      <x:c r="N146" t="n">
        <x:v>1</x:v>
      </x:c>
    </x:row>
    <x:row r="147">
      <x:c r="A147" t="inlineStr">
        <x:is>
          <x:t xml:space="preserve">RR-146</x:t>
        </x:is>
      </x:c>
      <x:c r="B147" t="inlineStr">
        <x:is>
          <x:t xml:space="preserve">CV-03</x:t>
        </x:is>
      </x:c>
      <x:c r="C147" t="inlineStr">
        <x:is>
          <x:t xml:space="preserve">degree: phd. experience level: senior-level. target role: financial analyst. skills: forecasting, financial modelling, excel, budgeting, market research.</x:t>
        </x:is>
      </x:c>
      <x:c r="D147" t="inlineStr">
        <x:is>
          <x:t xml:space="preserve">Junior Financial Analyst</x:t>
        </x:is>
      </x:c>
      <x:c r="E147" t="inlineStr">
        <x:is>
          <x:t xml:space="preserve">Local company is looking for a Junior Financial Analyst to join their team permanently. This is a great opportunity for someone with 1-3 years of professional experience after getting their bachelors degree. They need to have strong Excel knowledge including the ability to do V-Lookups and create Pivot Tables.</x:t>
        </x:is>
      </x:c>
      <x:c r="F147" t="inlineStr">
        <x:is>
          <x:t xml:space="preserve">Bachelors Degree from an accredited school Strong Excel knowledge</x:t>
        </x:is>
      </x:c>
      <x:c r="G147" t="inlineStr">
        <x:is>
          <x:t xml:space="preserve">TAMPA</x:t>
        </x:is>
      </x:c>
      <x:c r="H147" t="inlineStr">
        <x:is>
          <x:t xml:space="preserve">FL</x:t>
        </x:is>
      </x:c>
      <x:c r="I147" t="n">
        <x:v>1</x:v>
      </x:c>
      <x:c r="J147" t="str">
        <x:v>الخلفية المهنية قريبة نسبياً وتدعم بعض جوانب العمل في Junior Financial Analyst، إلا أن بعض المتطلبات تحتاج تدريب إضافي.</x:v>
      </x:c>
      <x:c r="K147" t="n">
        <x:v>0</x:v>
      </x:c>
      <x:c r="L147" t="str">
        <x:v>تقييم مستقل: المرشح مركز تماماً على مجال financial analyst وهو بعيد عن النطاق التشغيلي لدور Junior Financial Analyst.</x:v>
      </x:c>
      <x:c r="M147" t="n">
        <x:v>1</x:v>
      </x:c>
      <x:c r="N147" t="n">
        <x:v>1</x:v>
      </x:c>
    </x:row>
    <x:row r="148">
      <x:c r="A148" t="inlineStr">
        <x:is>
          <x:t xml:space="preserve">RR-147</x:t>
        </x:is>
      </x:c>
      <x:c r="B148" t="inlineStr">
        <x:is>
          <x:t xml:space="preserve">CV-12</x:t>
        </x:is>
      </x:c>
      <x:c r="C148" t="inlineStr">
        <x:is>
          <x:t xml:space="preserve">degree: phd. experience level: senior-level. target role: personal trainer. skills: fitness, anatomy, injury prevention, nutrition, exercise planning.</x:t>
        </x:is>
      </x:c>
      <x:c r="D148" t="inlineStr">
        <x:is>
          <x:t xml:space="preserve">Technical Recruiter</x:t>
        </x:is>
      </x:c>
      <x:c r="E148" t="inlineStr">
        <x:is>
          <x:t xml:space="preserve">Here is an opportunity for a talented recruiter to become a part of the DISYS family. DISYS is constantly ranked each year as one of the fastest growing privately held companies in the US. We pride ourselves in having a comfortable, relaxed, but extremely productive and competitive work environment. If you are looking for a company that cares about you as a person and provides you with all the tools for you to be successful in your career, DISYS may be the right career choice for you. All of our positions are from direct clients. We don't work on layer positions from other vendors. You have the flexibility to source from Corp 2 Corp, W2, transfer h1s, etc. Location: Houston, Texas We are looking for a talented technical recruiter.</x:t>
        </x:is>
      </x:c>
      <x:c r="F148" t="inlineStr">
        <x:is>
          <x:t xml:space="preserve">At least 2+ years of IT Technical Recruiting experience Experience in recruiting Applications, Infrastructure and Telecommunications. Must have experience sourcing from job boards; Monster, Dice, CareerBuilder, etc. Good experience sourcing, screening, presenting resumes Creative sourcing abilities; LinkedIn, social sites, Google, etc. Working with subcontracting - C2C W2 recruiting Must have excellent written and oral communication skills Excellent attitude is a must Must be a team player Must have a strong work ethic You will have base salary depending on experience (50-70K) plus commissions and bonuses plus health/sick/vacation benefits plus 401K with matching Monthly Phone Allowance We also have a Presidents Club trip every year for those who qualify</x:t>
        </x:is>
      </x:c>
      <x:c r="G148" t="inlineStr">
        <x:is>
          <x:t xml:space="preserve">HOUSTON</x:t>
        </x:is>
      </x:c>
      <x:c r="H148" t="inlineStr">
        <x:is>
          <x:t xml:space="preserve">TX</x:t>
        </x:is>
      </x:c>
      <x:c r="I148" t="n">
        <x:v>0</x:v>
      </x:c>
      <x:c r="J148" t="str">
        <x:v>عدم مطابقة: خبرات المرشح موجهة نحو personal trainer، وهي بعيدة عن متطلبات دور Technical Recruiter.</x:v>
      </x:c>
      <x:c r="K148" t="n">
        <x:v>0</x:v>
      </x:c>
      <x:c r="L148" t="str">
        <x:v>استبعاد: الفجوة كبيرة في المهارات بين التخصص المستهدف (personal trainer) والمسؤوليات المحددة لـ Technical Recruiter.</x:v>
      </x:c>
      <x:c r="M148" t="n">
        <x:v>0</x:v>
      </x:c>
      <x:c r="N148" t="n">
        <x:v>0</x:v>
      </x:c>
    </x:row>
    <x:row r="149">
      <x:c r="A149" t="inlineStr">
        <x:is>
          <x:t xml:space="preserve">RR-148</x:t>
        </x:is>
      </x:c>
      <x:c r="B149" t="inlineStr">
        <x:is>
          <x:t xml:space="preserve">CV-27</x:t>
        </x:is>
      </x:c>
      <x:c r="C149" t="inlineStr">
        <x:is>
          <x:t xml:space="preserve">degree: phd. experience level: senior-level. target role: cloud architect. skills: azure, scalability, solution architecture, aws, cloud computing.</x:t>
        </x:is>
      </x:c>
      <x:c r="D149" t="inlineStr">
        <x:is>
          <x:t xml:space="preserve">Outside Sales Consultant for Food and Janitorial Industry</x:t>
        </x:is>
      </x:c>
      <x:c r="E149" t="inlineStr">
        <x:is>
          <x:t xml:space="preserve">Dade Paper is hiring! Check us out! We are more than just Paper... We are the largest independent Distributor of Disposable Food Service and Janitorial Supplies in the Eastern United States! We partner with major suppliers in the Hospitality, Foodservice, Healthcare, and Facility Maintenance Industries. We are seeking professional, ambitious, self-motivating individuals for an Outside Sales Consultant position in the Atlanta, GA area. Responsibilities Include: Manage long-term profitable relationships with customers Oversee fulfillment of customer purchase orders Product consulting Grow sales volume with current and new customers Prospect for new customers Maintain customer account documentation Resolve problems and develop solutions Participate in company promotions, training, and meetings</x:t>
        </x:is>
      </x:c>
      <x:c r="F149" t="inlineStr">
        <x:is>
          <x:t xml:space="preserve">Qualifications Include: High School diploma, college degree a plus! Bilingual (Spanish and English) a plus! Two year outside sales experience preferred, related industry a plus! Knowledge of customer markets served or product lines a plus! Excellent communication and interpersonal skills required Detailed organizational and time management skills required Computer proficiency including email, word processing, and spreadsheet required Handheld PDA or equivalent devices a plus! Benefits Include: Excellent salary potential with no limits on commissions! Complete benefits package including health insurance, dental insurance, 401K Training programs First-rate sales, marketing and operational support from an established financially sound organization Opportunity to work in a positive, fast-paced environment in a growing industry Visit http://www.dadepaper.com/ to learn more about this dynamic growing organization! EOE MFDV DFWP</x:t>
        </x:is>
      </x:c>
      <x:c r="G149" t="inlineStr">
        <x:is>
          <x:t xml:space="preserve">ATLANTA</x:t>
        </x:is>
      </x:c>
      <x:c r="H149" t="inlineStr">
        <x:is>
          <x:t xml:space="preserve">GA</x:t>
        </x:is>
      </x:c>
      <x:c r="I149" t="n">
        <x:v>0</x:v>
      </x:c>
      <x:c r="J149" t="str">
        <x:v>المؤهلات في السيرة الذاتية تخص مجالات cloud architect فقط، ولا توجد خبرة سابقة في مسؤوليات Outside Sales Consultant for Food and Janitorial Industry.</x:v>
      </x:c>
      <x:c r="K149" t="n">
        <x:v>0</x:v>
      </x:c>
      <x:c r="L149" t="str">
        <x:v>ملاحظة المراجع الثاني: بعد التدقيق، لا توجد خبرة عمل معتمدة تتناسب مع متطلبات وظيفة Outside Sales Consultant for Food and Janitorial Industry.</x:v>
      </x:c>
      <x:c r="M149" t="n">
        <x:v>0</x:v>
      </x:c>
      <x:c r="N149" t="n">
        <x:v>0</x:v>
      </x:c>
    </x:row>
    <x:row r="150">
      <x:c r="A150" t="inlineStr">
        <x:is>
          <x:t xml:space="preserve">RR-149</x:t>
        </x:is>
      </x:c>
      <x:c r="B150" t="inlineStr">
        <x:is>
          <x:t xml:space="preserve">CV-21</x:t>
        </x:is>
      </x:c>
      <x:c r="C150" t="inlineStr">
        <x:is>
          <x:t xml:space="preserve">degree: bachelors. experience level: mid-level. target role: data analyst. skills: sql, data reporting, excel, statistics, data analysis.</x:t>
        </x:is>
      </x:c>
      <x:c r="D150" t="inlineStr">
        <x:is>
          <x:t xml:space="preserve">Sr. Financial Analyst</x:t>
        </x:is>
      </x:c>
      <x:c r="E150" t="inlineStr">
        <x:is>
          <x:t xml:space="preserve">Sr. Financial Analyst – Healthcare Industry As the trusted experts in government contracts, our team of professionals provide affordable, full-service administration for “bona-fide" fringe benefit plans as a third party administrator in accordance with SCA requirements, using an irrevocable funding arrangement. With over 25 years of experience, FCE Benefit Administrators, Inc . has enabled hundreds of For-Profit and Not-For-Profit companies to attain complete compliance under the Service Contract Act (SCA), Davis-Bacon Act (DBA), Javits Wagner O’Day (JWOD), and related legislation . Through a blend of cost-effectiveness, forward thinking, and vast industry expertise, FCE avoids benefit-related cost overruns by providing equivalent employee benefits that meet, but do not exceed, the fringe dollar obligation. We attend to administrative details to be fully compliant with government regulations. FCE constantly monitors client’s claims to assure consistency with goals and offer full-service administration, including the sensitive task of assisting companies through the transition. FCE provides ongoing consultation support on benefit design, ERISA, labor relations, government contract obligations, COBRA and HIPAA. With our continued success and growth, we have an excellent opportunity for a seasoned Financial Analyst to work within our Actuarial Department in Burlingame, California. Key responsibilities and objectives: Complete, review, analyze and research monthly claims experience reporting Verify financial statements for client trust reports Review and interpret contracts for financial impact. Maintain existing reporting and provide financial analysis Create ad-hoc reports as requested Research reporting anomalies Partner well with actuary, finance and clients Track Stop Loss renewals</x:t>
        </x:is>
      </x:c>
      <x:c r="F150" t="inlineStr">
        <x:is>
          <x:t xml:space="preserve">BS Degree in economics, finance/accounting is required. At least five years in a senior role, in the healthcare/insurance industry. Strong interpersonal skills with the ability to deal well with all levels of staff. Microsoft Office Suite to include advanced Excel skills (macros, pivot tables, lookup tables, functions). Knowledge of stop loss is desirable. Strong ability to deal well with constantly changing priorities in an ever evolving environment. Benefits Offered: We recognize talented people are attracted to companies that provide competitive pay, comprehensive benefit packages, and outstanding advancement opportunities. For this reason, we offer a comprehensive benefits plan that includes the following: 401(k) and Company Profit Sharing plan Medical , dental and vision coverage Life/AD&amp;D insurance Flexible spending accounts Paid vacation and sick leave Professional development/tuition reimbursement Discount fitness memberships Work/life resources EOE, Salary DOE and Benefits. Email resume with cover letter and salary requirements to this ad. Sr. Financial Analyst – Healthcare Industry</x:t>
        </x:is>
      </x:c>
      <x:c r="G150" t="inlineStr">
        <x:is>
          <x:t xml:space="preserve">BURLINGAME</x:t>
        </x:is>
      </x:c>
      <x:c r="H150" t="inlineStr">
        <x:is>
          <x:t xml:space="preserve">CA</x:t>
        </x:is>
      </x:c>
      <x:c r="I150" t="n">
        <x:v>1</x:v>
      </x:c>
      <x:c r="J150" t="str">
        <x:v>توجد مهارات إدارية وتنظيمية مشتركة مع دور Sr. Financial Analyst، لكن المرشح ينقصه التخصص المباشر والخبرة الفنية الدقيقة.</x:v>
      </x:c>
      <x:c r="K150" t="n">
        <x:v>0</x:v>
      </x:c>
      <x:c r="L150" t="str">
        <x:v>تقييم مستقل: المرشح مركز تماماً على مجال data analyst وهو بعيد عن النطاق التشغيلي لدور Sr. Financial Analyst.</x:v>
      </x:c>
      <x:c r="M150" t="n">
        <x:v>1</x:v>
      </x:c>
      <x:c r="N150" t="n">
        <x:v>1</x:v>
      </x:c>
    </x:row>
    <x:row r="151">
      <x:c r="A151" t="inlineStr">
        <x:is>
          <x:t xml:space="preserve">RR-150</x:t>
        </x:is>
      </x:c>
      <x:c r="B151" t="inlineStr">
        <x:is>
          <x:t xml:space="preserve">CV-25</x:t>
        </x:is>
      </x:c>
      <x:c r="C151" t="inlineStr">
        <x:is>
          <x:t xml:space="preserve">degree: phd. experience level: senior-level. target role: graphic designer. skills: photo editing, branding, web design, adobe photoshop, typography.</x:t>
        </x:is>
      </x:c>
      <x:c r="D151" t="inlineStr">
        <x:is>
          <x:t xml:space="preserve">Graphic Artist</x:t>
        </x:is>
      </x:c>
      <x:c r="E151" t="inlineStr">
        <x:is>
          <x:t xml:space="preserve">A leading design firm, located in the garment district of NYC is looking for a strong Graphic Artist with retouching experience for our 2xist division. Graphic Artist You will be producing various design materials including plan-o-grams, newsletters, internal sales forms, advertising layouts, posters and signage. You will produce mock-ups. We need someone with good production skills. Retouching experience is strongly needed.</x:t>
        </x:is>
      </x:c>
      <x:c r="F151" t="inlineStr">
        <x:is>
          <x:t xml:space="preserve">Basic Qualifications: -Software experience- Illustrator CS5, Photoshop CS5, InDesign CS5 A plus: -Lightroom, Dreamweaver or other web experience -Studio photography/catalog experience Salary: depending on experience No Sponsorship available</x:t>
        </x:is>
      </x:c>
      <x:c r="G151" t="inlineStr">
        <x:is>
          <x:t xml:space="preserve">NEW YORK</x:t>
        </x:is>
      </x:c>
      <x:c r="H151" t="inlineStr">
        <x:is>
          <x:t xml:space="preserve">NY</x:t>
        </x:is>
      </x:c>
      <x:c r="I151" t="n">
        <x:v>2</x:v>
      </x:c>
      <x:c r="J151" t="str">
        <x:v>تطابق ممتاز في المؤهلات والخبرات العملية مع الشاغر الوظيفي (Graphic Artist).</x:v>
      </x:c>
      <x:c r="K151" t="n">
        <x:v>2</x:v>
      </x:c>
      <x:c r="L151" t="str">
        <x:v>مرشح قوي: المطابقة عالية ومباشرة لجميع المسؤوليات اليومية المطلوبة.</x:v>
      </x:c>
      <x:c r="M151" t="n">
        <x:v>2</x:v>
      </x:c>
      <x:c r="N151" t="n">
        <x:v>2</x:v>
      </x:c>
    </x:row>
    <x:row r="152">
      <x:c r="A152" t="inlineStr">
        <x:is>
          <x:t xml:space="preserve">RR-151</x:t>
        </x:is>
      </x:c>
      <x:c r="B152" t="inlineStr">
        <x:is>
          <x:t xml:space="preserve">CV-29</x:t>
        </x:is>
      </x:c>
      <x:c r="C152" t="inlineStr">
        <x:is>
          <x:t xml:space="preserve">degree: bachelors. experience level: senior-level. target role: dentist. skills: anatomy, orthodontics, oral health, patient care, oral hygiene.</x:t>
        </x:is>
      </x:c>
      <x:c r="D152" t="inlineStr">
        <x:is>
          <x:t xml:space="preserve">Front Desk Receptionist / Patient Relations Coordinator</x:t>
        </x:is>
      </x:c>
      <x:c r="E152" t="inlineStr">
        <x:is>
          <x:t xml:space="preserve">SMILE... A Bright Future Awaits with Dr. McClary &amp; Associates III, P.A. We are currently seeking a professional, bright and enthusiastic person with excellent people/communication skills. Front Desk Receptionist / Patient Relations Coordinator You will play a vital role in the efficient operation of the practice. You will provide exceptional front-line customer service and meet the many non-clinical needs of our patients. In addition, you will coordinate the flow of patients through the office, assist patients with payments, insurance and billing information, schedule appointments and maintain patient charts.</x:t>
        </x:is>
      </x:c>
      <x:c r="F152" t="inlineStr">
        <x:is>
          <x:t xml:space="preserve">Qualified Applicants Will Possess: Previous dental required Previous customer service experience is must Ability to influence / gain patients commitment to complete treatment Ability to talk financials with patients Excellent interpersonal, telephone and written / verbal communication skills PC proficiency Ability to handle multiple tasks in a fast-paced environment Strong organizational and planning skills Detail-oriented Conflict-resolution skills Demonstrated problem solving skills and good judgment We recognize our associates are our most valuable assets. You will be working alongside top-notch dental professionals in a pleasant work environment that recognizes and rewards achievement. You will also receive some of the best benefits in the industry, including: Competitive pay Monthly Incentives Bonus Opportunities Comprehensive Benefits Program Paid Holidays and Generous Paid Time Off Programs Formal Training Program Advancement Opportunities Dr. McClary &amp; Associates encourage workplace diversity and are proud to be an Equal Opportunity Employer</x:t>
        </x:is>
      </x:c>
      <x:c r="G152" t="inlineStr">
        <x:is>
          <x:t xml:space="preserve">SALISBURY</x:t>
        </x:is>
      </x:c>
      <x:c r="H152" t="inlineStr">
        <x:is>
          <x:t xml:space="preserve">NC</x:t>
        </x:is>
      </x:c>
      <x:c r="I152" t="n">
        <x:v>0</x:v>
      </x:c>
      <x:c r="J152" t="str">
        <x:v>المرشح مستهدف العمل كـ dentist، بينما الوظيفة المعروضة هي Front Desk Receptionist / Patient Relations Coordinator. الاختلاف كبير في طبيعة المهام والمسار المهني.</x:v>
      </x:c>
      <x:c r="K152" t="n">
        <x:v>0</x:v>
      </x:c>
      <x:c r="L152" t="str">
        <x:v>ملاحظة المراجع الثاني: بعد التدقيق، لا توجد خبرة عمل معتمدة تتناسب مع متطلبات وظيفة Front Desk Receptionist / Patient Relations Coordinator.</x:v>
      </x:c>
      <x:c r="M152" t="n">
        <x:v>0</x:v>
      </x:c>
      <x:c r="N152" t="n">
        <x:v>0</x:v>
      </x:c>
    </x:row>
    <x:row r="153">
      <x:c r="A153" t="inlineStr">
        <x:is>
          <x:t xml:space="preserve">RR-152</x:t>
        </x:is>
      </x:c>
      <x:c r="B153" t="inlineStr">
        <x:is>
          <x:t xml:space="preserve">CV-10</x:t>
        </x:is>
      </x:c>
      <x:c r="C153" t="inlineStr">
        <x:is>
          <x:t xml:space="preserve">degree: phd. experience level: senior-level. target role: urban planner. skills: project management, policy analysis, gis, community engagement, urban development.</x:t>
        </x:is>
      </x:c>
      <x:c r="D153" t="inlineStr">
        <x:is>
          <x:t xml:space="preserve">Medical Billing - NextGen</x:t>
        </x:is>
      </x:c>
      <x:c r="E153" t="inlineStr">
        <x:is>
          <x:t xml:space="preserve">A multi-physician Phoenix medical office is looking for a talented individual to help in their payment posting and AR department. This is a great opportunity for the right individual to work in a busy environment.</x:t>
        </x:is>
      </x:c>
      <x:c r="F153" t="inlineStr">
        <x:is>
          <x:t xml:space="preserve">Qualifications: Experience with NextGen 2 years recent billing/AR experience required</x:t>
        </x:is>
      </x:c>
      <x:c r="G153" t="inlineStr">
        <x:is>
          <x:t xml:space="preserve">PHOENIX</x:t>
        </x:is>
      </x:c>
      <x:c r="H153" t="inlineStr">
        <x:is>
          <x:t xml:space="preserve">AZ</x:t>
        </x:is>
      </x:c>
      <x:c r="I153" t="n">
        <x:v>0</x:v>
      </x:c>
      <x:c r="J153" t="str">
        <x:v>عدم مطابقة: خبرات المرشح موجهة نحو urban planner، وهي بعيدة عن متطلبات دور Medical Billing - NextGen.</x:v>
      </x:c>
      <x:c r="K153" t="n">
        <x:v>0</x:v>
      </x:c>
      <x:c r="L153" t="str">
        <x:v>تقييم مستقل: المرشح مركز تماماً على مجال urban planner وهو بعيد عن النطاق التشغيلي لدور Medical Billing - NextGen.</x:v>
      </x:c>
      <x:c r="M153" t="n">
        <x:v>0</x:v>
      </x:c>
      <x:c r="N153" t="n">
        <x:v>0</x:v>
      </x:c>
    </x:row>
    <x:row r="154">
      <x:c r="A154" t="inlineStr">
        <x:is>
          <x:t xml:space="preserve">RR-153</x:t>
        </x:is>
      </x:c>
      <x:c r="B154" t="inlineStr">
        <x:is>
          <x:t xml:space="preserve">CV-08</x:t>
        </x:is>
      </x:c>
      <x:c r="C154" t="inlineStr">
        <x:is>
          <x:t xml:space="preserve">degree: phd. experience level: mid-level. target role: cybersecurity analyst. skills: penetration testing, incident response, security protocols, network security, ethical hacking.</x:t>
        </x:is>
      </x:c>
      <x:c r="D154" t="inlineStr">
        <x:is>
          <x:t xml:space="preserve">Front Desk Manager</x:t>
        </x:is>
      </x:c>
      <x:c r="E154" t="inlineStr">
        <x:is>
          <x:t xml:space="preserve">Front Desk Manager We have an immediate opening for a talented Front Desk Manager for one of our most prestigious clients in the Needham area. We are looking for someone who is willing to think outside of the box and help create new initiatives. This is an opportunity that not only offers the chance for networking but there is also lots of room for growth. The previous Front Desk Manager was promoted to Office Manager. Responsibilities: - Answering phones throughout the day in a kind and courteous manner - Delivering mail to the appropriate staff members - Entering data into a specialized scheduling system - Some light calendar management work and travel arrangements - Customer service via email, phones, and in person</x:t>
        </x:is>
      </x:c>
      <x:c r="F154" t="inlineStr">
        <x:is>
          <x:t xml:space="preserve">- Access to a vehicle on a daily basis - Any hotel, concierge, secretary, or admin backgrounds are encouraged to apply! Recent Grads are also welcome! - At least 6 months phones experience in an office environment in the last 6 months - Must be available immediately, as we are looking to fill this role as soon as possible PSG job postings are either actual positions we had available at the time of posting and/or are representative of positions we typically fill or expect to fill. Our fees are paid by our client companies, so services to candidates are completely free. If you see a job that interests you, respond to the ad or give us a call so that we can help you find a job you'll love. As one of the area's largest staffing firms, we helped almost 5,000 people find jobs this year so chances are good that we can help you too. There are no costs for candidates utilizing our services as our clients pay for all related hiring fees. If you are interested in other opportunities currently available through our firm please visit our website at www.psgstaffing.com .</x:t>
        </x:is>
      </x:c>
      <x:c r="G154" t="inlineStr">
        <x:is>
          <x:t xml:space="preserve">NEEDHAM</x:t>
        </x:is>
      </x:c>
      <x:c r="H154" t="inlineStr">
        <x:is>
          <x:t xml:space="preserve">MA</x:t>
        </x:is>
      </x:c>
      <x:c r="I154" t="n">
        <x:v>0</x:v>
      </x:c>
      <x:c r="J154" t="str">
        <x:v>المؤهلات في السيرة الذاتية تخص مجالات cybersecurity analyst فقط، ولا توجد خبرة سابقة في مسؤوليات Front Desk Manager.</x:v>
      </x:c>
      <x:c r="K154" t="n">
        <x:v>0</x:v>
      </x:c>
      <x:c r="L154" t="str">
        <x:v>استبعاد: الفجوة كبيرة في المهارات بين التخصص المستهدف (cybersecurity analyst) والمسؤوليات المحددة لـ Front Desk Manager.</x:v>
      </x:c>
      <x:c r="M154" t="n">
        <x:v>0</x:v>
      </x:c>
      <x:c r="N154" t="n">
        <x:v>0</x:v>
      </x:c>
    </x:row>
    <x:row r="155">
      <x:c r="A155" t="inlineStr">
        <x:is>
          <x:t xml:space="preserve">RR-154</x:t>
        </x:is>
      </x:c>
      <x:c r="B155" t="inlineStr">
        <x:is>
          <x:t xml:space="preserve">CV-17</x:t>
        </x:is>
      </x:c>
      <x:c r="C155" t="inlineStr">
        <x:is>
          <x:t xml:space="preserve">degree: bachelors. experience level: senior-level. target role: content writer. skills: research, creative writing, blogging, editing, communication.</x:t>
        </x:is>
      </x:c>
      <x:c r="D155" t="inlineStr">
        <x:is>
          <x:t xml:space="preserve">Marketing Coordinator</x:t>
        </x:is>
      </x:c>
      <x:c r="E155" t="inlineStr">
        <x:is>
          <x:t xml:space="preserve">Are you a marketing professional who consistently seeks out new challenges on a daily basis? We are interested in employees who will take a personal responsibility for making our company a success! Coding Strategies, Inc. (CSI) is a consulting firm that provides auditing, seminars, webinars, online training, reference guides and consulting in the medical coding industry. CSI serves a wide range of healthcare organizations nationwide including hospitals, physician practices, practice management companies, freestanding centers, billing companies, insurance companies, healthcare attorneys and/or anyone ultimately responsible for coding and compliance. Marketing Coordinator We are currently seeking a Marketing Coordinator to be responsible for planning and executing various marketing programs from CSI events, industry tradeshows, campaigns (advertising, direct mail, email and multi-touch), and collateral development, as well as, maintaining positive relationships with industry associations. The ideal candidate should have a well-rounded marketing background and possess extensive experience in event coordination, planning, execution, follow-up and reporting. This position is responsible for the development and coordination of all traditional marketing initiatives surrounding campaigns, marketing materials —flyers, order forms, sales presentations , ROI reporting, project management, direct mail, competitor analysis, etc. He or she will also be responsible for the analysis of data as related to the company’s involvement industry associations and events. This position is also responsible for keeping up with industry trends and maintaining positive relationships with clients, vendors and other CSI employees. Responsibilities: Event planning and coordination—including logistics, setup, advertising, promotions/campaigns, reporting, as well as computes return on investment (ROI) for the company’s traditional seminars and tradeshows Creates tradeshow cost-analysis &amp; ROI reports, exhibit traffic/trends, leads and campaign reports Prepares and delivers follow-up materials for tradeshows and company sponsored and/or hosted events Serves as a liaison to external facilities/vendors to ensure successful execution of events Performs tradeshow membership profiling and other industry research Manages and maintains advertising calendar and social media programs and other communication channels. Works with Marketing Director to develop and implement a marketing schedule of campaigns, events, advertising and communications Makes recommendations for company’s marketing objectives based on collective research results Evaluates market demand for specialty products and services through conducting industry surveys Responsible for creating &amp; maintaining competitor analysis Creates and maintains marketing materials (order forms, product flyers, press releases) for company events and products Other duties as assigned.</x:t>
        </x:is>
      </x:c>
      <x:c r="F155" t="inlineStr">
        <x:is>
          <x:t xml:space="preserve">Bachelor’s degree Marketing or other equivalent degree desired Must possess a high level of detail and organizational skills Proven experience with coordinating special events is a MUST Able to handle detailed information and prepare reports with consistency Experience with customer service and the sales process Customer Relationship Management (CRM) programs such as Salesforce or equivalent programs Experience with market research utilizing the internet Intermediate to Advanced skills with Photoshop and In-Design is REQUIRED Knowledge and experience with email marketing tools such as Constant Contact required Intermediate to advanced skills with standard Microsoft office products Experience with customer retention and database management is an advantage Self-starter with ability to operate with minimal supervision Must be familiar with social network tools such as Facebook, Twitter, LinkedIn, etc. Possess and demonstrate strong interpersonal skills to manage and communicate effectively with clients, employees and vendors 25% travel is required Benefits: Competitive compensation range of $32,000-$40,000 annually, dependent on experience Medical, dental and vision benefits 401K plan Paid time off Daily business-casual dress code, including casual Fridays Family-like but no-nonsense environment Educational assistance – up to a maximum of $1,500 per calendar year for courses taken as a part of an undergraduate or graduate degree program; up to a maximum of $500 per calendar year for courses taken as continuing education To Apply: Please send resume and cover letter to: Melissa.Vidakovic@codingstrategies.com . For more information on Coding Strategies, Inc., please visit our website at www.codingstrategies.com . EOE</x:t>
        </x:is>
      </x:c>
      <x:c r="G155" t="inlineStr">
        <x:is>
          <x:t xml:space="preserve">POWDER SPRINGS</x:t>
        </x:is>
      </x:c>
      <x:c r="H155" t="inlineStr">
        <x:is>
          <x:t xml:space="preserve">GA</x:t>
        </x:is>
      </x:c>
      <x:c r="I155" t="n">
        <x:v>1</x:v>
      </x:c>
      <x:c r="J155" t="str">
        <x:v>الخلفية المهنية قريبة نسبياً وتدعم بعض جوانب العمل في Marketing Coordinator، إلا أن بعض المتطلبات تحتاج تدريب إضافي.</x:v>
      </x:c>
      <x:c r="K155" t="n">
        <x:v>1</x:v>
      </x:c>
      <x:c r="L155" t="str">
        <x:v>تقييم مستقل: توجد مهارات عامة يمكن الاستفادة منها، ولكن التأهيل غير مكتمل لوظيفة Marketing Coordinator.</x:v>
      </x:c>
      <x:c r="M155" t="n">
        <x:v>1</x:v>
      </x:c>
      <x:c r="N155" t="n">
        <x:v>1</x:v>
      </x:c>
    </x:row>
    <x:row r="156">
      <x:c r="A156" t="inlineStr">
        <x:is>
          <x:t xml:space="preserve">RR-155</x:t>
        </x:is>
      </x:c>
      <x:c r="B156" t="inlineStr">
        <x:is>
          <x:t xml:space="preserve">CV-07</x:t>
        </x:is>
      </x:c>
      <x:c r="C156" t="inlineStr">
        <x:is>
          <x:t xml:space="preserve">degree: bachelors. experience level: senior-level. target role: operations manager. skills: project management, leadership, supply chain management, customer service, risk management.</x:t>
        </x:is>
      </x:c>
      <x:c r="D156" t="inlineStr">
        <x:is>
          <x:t xml:space="preserve">Store Manager</x:t>
        </x:is>
      </x:c>
      <x:c r="E156" t="inlineStr">
        <x:is>
          <x:t xml:space="preserve">Store Manager Creates a friendly professional environment, works with the store Team Members to ensure outstanding customer service is provided while buying, selling and pawn activities are conducted. Manages store operations; is responsible for profit maximization; hiring, scheduling, and supervision of Team Members including On- the-Job-Training and ensuring adherence to industry regulations and Company policy in order to comply and prevent losses or damage to Company and customer assets. Reports to the District Manager. We offer our employees: Competitive Salary Bonus Incentives Health and Dental Benefits Vacation Pay Sick Pay 401K EEO employer</x:t>
        </x:is>
      </x:c>
      <x:c r="F156" t="inlineStr">
        <x:is>
          <x:t xml:space="preserve">Preferred Previous management experience Customer service, collection, Cash Advance and finance experience required Basic / Intermediate computer skills Outgoing personality Desire to succeed Proven track record to grow the business and maintain collections at or below company standards. Must have the ability to drive the business via superior management skills. Strong recruitment, training and developmental background needed. Must be familiar with P&amp;L statements and budgeting process.</x:t>
        </x:is>
      </x:c>
      <x:c r="G156" t="inlineStr">
        <x:is>
          <x:t xml:space="preserve">MARIETTA</x:t>
        </x:is>
      </x:c>
      <x:c r="H156" t="inlineStr">
        <x:is>
          <x:t xml:space="preserve">GA</x:t>
        </x:is>
      </x:c>
      <x:c r="I156" t="n">
        <x:v>1</x:v>
      </x:c>
      <x:c r="J156" t="str">
        <x:v>قبول مبدئي: المرشح يمتلك أساسيات قوية، لكن طبيعة دور Store Manager تختلف عن اهتمامه الرئيسي كـ operations manager.</x:v>
      </x:c>
      <x:c r="K156" t="n">
        <x:v>1</x:v>
      </x:c>
      <x:c r="L156" t="str">
        <x:v>وجهة نظر ثانية: الملف يظهر بعض التقارب، لكني أرى ضرورة التأكد من المهارات التخصصية في المقابلة.</x:v>
      </x:c>
      <x:c r="M156" t="n">
        <x:v>1</x:v>
      </x:c>
      <x:c r="N156" t="n">
        <x:v>1</x:v>
      </x:c>
    </x:row>
    <x:row r="157">
      <x:c r="A157" t="inlineStr">
        <x:is>
          <x:t xml:space="preserve">RR-156</x:t>
        </x:is>
      </x:c>
      <x:c r="B157" t="inlineStr">
        <x:is>
          <x:t xml:space="preserve">CV-30</x:t>
        </x:is>
      </x:c>
      <x:c r="C157" t="inlineStr">
        <x:is>
          <x:t xml:space="preserve">degree: masters. experience level: senior-level. target role: pilot. skills: navigation, air traffic control, risk management, emergency response, weather analysis.</x:t>
        </x:is>
      </x:c>
      <x:c r="D157" t="inlineStr">
        <x:is>
          <x:t xml:space="preserve">Composite Aircraft Technician</x:t>
        </x:is>
      </x:c>
      <x:c r="E157" t="inlineStr">
        <x:is>
          <x:t xml:space="preserve">Position Reports To: Department: Rapid Fielding Location: Gilbert/Scottsdale, AZ Status: Full Time/Hourly/Non-Exempt/Safety Sensitive Summary As directed by the lead engineer, technician will be responsible for the laying up, shaping and molding of carbon fiber for unmanned aerial vehicles. Will be working in a fast-paced environment. Qualifications High School diploma required, 2 year degree in technical field preferred Aviation experience preferred 2+ years’ experience with carbon fiber, sanding, grinding, deburring, cutting, repairs, etc . . . Experience working in an R&amp;D, production/manufacture assembly Must be able to read and interpret blue prints, engineering sketches and drawings Able to obtain and maintain a Government Security Clearance, if required Responsibilities Knowledgeable and able to assemble, disassemble, rework, repair and modify aircraft composite assemblies, sub-assemblies, metallic and composite structure Knowledgeable in drilling and countersinking of Kevlar, fiberglass and carbon composites Can install solid and blind fasteners into composite parts, sub-assemblies, bond prep and bonding of composite sub-assemblies Techniques performed include wet lay-up, prepare lay-up, metal-to-metal bonding utilizing vacuum bagging, hot bonding, etc . . . Assists with building and installs final assembly composite parts made from epoxy resins, fiberglass and Kevlar fabrics, structural adhesives, rivets, threaded and blind fasteners using various hand tools Cutting and trimming of composite parts per close tolerances for installation to fixtures, assemblies and sub-assemblies Drill, countersink, bond and rig complex composite aircraft parts to form assemblies, sub-assemblies and flight controls by use of assembly fixtures and precision measuring equipment Sets up and operates equipment to make test runs Examines product for defects, performing required tests, measurement of performance, need for required adjustments and verification of specified tolerances Able to fabricate parts if needed Able to troubleshoot any issues Will be laying up carbon fiber to construct 6 to 10 foot wingspan unmanned aerial vehicles Physical Demands &amp; Work Environment Initial work will be performed in a controlled environment. Repairs may be performed outside in hot and cold desert environments or inclement weather conditions While performing the duties of this job, the employee is regularly required to stand, sit, demonstrate manual dexterity, talk, hear, and see (must be able to stand for long periods of time) Must be able to lift at least 50 pounds during the course of the workday Personal protective equipment is required when performing work including hearing protection, safety glasses, safety footwear, and other protective equipment as required * STARA Technologies promotes a drug/alcohol free work environment through the use of mandatory pre-employment drug testing and on-going random drug testing *STARA Technologies is an Equal Opportunity Employer and participates with the E-Verify Employment Eligibility program *Must have clean driving record *Responsibilities sometimes require working evenings and weekends, sometimes with little advanced notice. *Position contingent upon contract funding/approval *Must be able to read, write and speak English</x:t>
        </x:is>
      </x:c>
      <x:c r="F157" t="inlineStr">
        <x:is>
          <x:t xml:space="preserve">High School diploma required, 2 year degree in technical field preferred Aviation experience preferred 2+ years’ experience with carbon fiber, sanding, grinding, deburring, cutting, repairs, etc . . . Experience working in an R&amp;D, production/manufacture assembly Must be able to read and interpret blue prints, engineering sketches and drawings Able to obtain and maintain a Government Security Clearance, if required No Phone Calls Please</x:t>
        </x:is>
      </x:c>
      <x:c r="G157" t="inlineStr">
        <x:is>
          <x:t xml:space="preserve">SCOTTSDALE</x:t>
        </x:is>
      </x:c>
      <x:c r="H157" t="inlineStr">
        <x:is>
          <x:t xml:space="preserve">AZ</x:t>
        </x:is>
      </x:c>
      <x:c r="I157" t="n">
        <x:v>1</x:v>
      </x:c>
      <x:c r="J157" t="str">
        <x:v>تقارب جزئي في المهارات العملية، ولكن يحتاج لمراجعة تفصيلية في المقابلة للتأكد من مدى ملاءمته لمهام Composite Aircraft Technician.</x:v>
      </x:c>
      <x:c r="K157" t="n">
        <x:v>1</x:v>
      </x:c>
      <x:c r="L157" t="str">
        <x:v>قبول مشروط: الخلفية المهنية قريبة نسبياً لـ Composite Aircraft Technician، لكن يحتاج لتدريب على المهام الأساسية.</x:v>
      </x:c>
      <x:c r="M157" t="n">
        <x:v>1</x:v>
      </x:c>
      <x:c r="N157" t="n">
        <x:v>1</x:v>
      </x:c>
    </x:row>
    <x:row r="158">
      <x:c r="A158" t="inlineStr">
        <x:is>
          <x:t xml:space="preserve">RR-157</x:t>
        </x:is>
      </x:c>
      <x:c r="B158" t="inlineStr">
        <x:is>
          <x:t xml:space="preserve">CV-09</x:t>
        </x:is>
      </x:c>
      <x:c r="C158" t="inlineStr">
        <x:is>
          <x:t xml:space="preserve">degree: masters. experience level: senior-level. target role: software engineer. skills: software development, java, python, c++, agile.</x:t>
        </x:is>
      </x:c>
      <x:c r="D158" t="inlineStr">
        <x:is>
          <x:t xml:space="preserve">Senior Embedded Software Engineer</x:t>
        </x:is>
      </x:c>
      <x:c r="E158" t="inlineStr">
        <x:is>
          <x:t xml:space="preserve">Senior Embedded Software Engineer Terrific opportunity for a senior level product oriented Embedded Software Engineer interested in developing robust products that you, your friends and family will use everyday! This exciting team designs next generation products as well as upgrades to existing systems. These products are deployed in harsh environments with high reliability/availability demands. If you are up to the engineering challenge of your career, please apply today!</x:t>
        </x:is>
      </x:c>
      <x:c r="F158" t="inlineStr">
        <x:is>
          <x:t xml:space="preserve">Requirements: Minimum of 5 years software development in C/C++ in a Linux or RTOS environment. Experience developing multi-threaded applications. Experience with cross-platform development, debugging, and test tools. Experience with software development methodologies (e.g., OOA/D, UML, Requirements Management, Configuration Management, and Defect Management). Experience with Payment or Point of Sale software preferred Experience developing applications involving any or all of the following are preferred: security and encryption; multimedia; linux kernel drivers. Excellent computer skills (XML, Databases, Linux, Windows, Excel, Outlook, Visio, PowerPoint, etc). Must be able to travel (travel requirements generally less than 10%). Keywords: Embedded, C++, linux, RTOS, multithreaded, multithread, multithreading, kernel, drivers, microprocessor, microcontroller, PIC, QT, network, tcp/ip</x:t>
        </x:is>
      </x:c>
      <x:c r="G158" t="inlineStr">
        <x:is>
          <x:t xml:space="preserve">GREENSBORO</x:t>
        </x:is>
      </x:c>
      <x:c r="H158" t="inlineStr">
        <x:is>
          <x:t xml:space="preserve">NC</x:t>
        </x:is>
      </x:c>
      <x:c r="I158" t="n">
        <x:v>2</x:v>
      </x:c>
      <x:c r="J158" t="str">
        <x:v>السيرة الذاتية ممتازة ومطابقة بشكل مباشر لمهام ومتطلبات وظيفة Senior Embedded Software Engineer. يوصى بالترشيح للمقابلة.</x:v>
      </x:c>
      <x:c r="K158" t="n">
        <x:v>2</x:v>
      </x:c>
      <x:c r="L158" t="str">
        <x:v>توصية بالمقابلة: المهارات والمؤهلات تتوافق تماماً مع الوصف الوظيفي لـ Senior Embedded Software Engineer.</x:v>
      </x:c>
      <x:c r="M158" t="n">
        <x:v>2</x:v>
      </x:c>
      <x:c r="N158" t="n">
        <x:v>2</x:v>
      </x:c>
    </x:row>
    <x:row r="159">
      <x:c r="A159" t="inlineStr">
        <x:is>
          <x:t xml:space="preserve">RR-158</x:t>
        </x:is>
      </x:c>
      <x:c r="B159" t="inlineStr">
        <x:is>
          <x:t xml:space="preserve">CV-07</x:t>
        </x:is>
      </x:c>
      <x:c r="C159" t="inlineStr">
        <x:is>
          <x:t xml:space="preserve">degree: bachelors. experience level: senior-level. target role: operations manager. skills: project management, leadership, supply chain management, customer service, risk management.</x:t>
        </x:is>
      </x:c>
      <x:c r="D159" t="inlineStr">
        <x:is>
          <x:t xml:space="preserve">Inventory Control Analyst</x:t>
        </x:is>
      </x:c>
      <x:c r="E159" t="inlineStr">
        <x:is>
          <x:t xml:space="preserve">Su mmary: The Inventory Control Analyst is responsible for replenishing inventory within the assigned distribution network while controlling expense and achieving desired sales, profit and maximum internal and external customer satisfaction. Essential Duties/Responsibilities: Uses a thorough knowledge of Supply/Sales forecasting to aid in developing analytical procedures to determine the inventory requirements to support a proper inventory mix, sales (fill rates) and yield maximum turns. Prior purchasing experience is preferred and the position requires strong communication skills. Aids in Developing overall minimum inventory requirements, submits production requirements to suppliers and prepares CER as necessary. Determines general requirements for forecasting model, reviews for accuracy and adjusts production requirements to reflect updated information. Gathers and visually inspects industry data, TBC and subsidiary history, and economic trends for review and forecasting. Compiles, visually inspects and publishes department reports; i.e. low and out of stock reports, sales comparisons, production performance reports, overstock reports, shipments vs monthly forecast, warehouse space study model- supplier, customer purchase analysis, purchase forecast follow-up and closeout of discontinued product. Coordinates startup of all new production items/product lines. Follows up with suppliers on production schedule start dates, the monitoring of inventory levels, the determination of quantities needed and expedites delivery of products due to low inventory or stock-out situations. Works hand in hand with the Distribution Center Managers to lower inventory levels of slow moving product lines and to ensure that we are reordering fast moving products or "A" movers. Advises the Distribution Centers on flow of product coming in from suppliers. Also assists the Transportation Manager with smooth and cost efficient shipping and receiving of all product lines. Works closely with supplier Customer Service Representatives on stock availability, in transit information, special reports, etc. Works closely with the Customer Service Manager to ensure fill rates remain at optimum levels (at least 90%) and to track down all out of stock items immediately to rectify. Supervises the addition, deletion, and maintenance of product lines, vendor information, etc. to the production planning model. Works in tandem with the Sales Department and the Purchasing Department to ensure that we are ordering/replenishing all "A" movers and eliminating lines that are no longer profitable. Regularly contacts suppliers to obtain production data, start dates and shipment information. Also handles special problems outside the norm with suppliers as necessary. Requires frequent contact with TBC subsidiaries throughout the organization. Must possess the skills necessary to direct, develop and train subordinates. Works with confidential information which if divulged, could be detrimental to the Company. OTHER JOB FUNCTIONS: Assists the Director of Replenishment as required. Prepare spreadsheet analysis for various projects as needed. Performs other various job functions as may be assigned SUPERVISORY RESPONSIBILITIES This position has no supervisory responsibilities.</x:t>
        </x:is>
      </x:c>
      <x:c r="F159" t="inlineStr">
        <x:is>
          <x:t xml:space="preserve">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Position requires a bachelor’s degree (B.A. or B.S.) from a four year college or university, 3 to 5 years of experience, or an equivalent level of education and experience. Solid SAP and supply chain experience is required.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REASONING ABILITY Ability to define problems, collect data, establish facts, and draw valid conclusions. Ability to interpret an extensive variety of technical instructions in mathematical or diagram form and deal with several abstract and concrete variables.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x:t>
        </x:is>
      </x:c>
      <x:c r="G159" t="inlineStr">
        <x:is>
          <x:t xml:space="preserve">ATLANTA</x:t>
        </x:is>
      </x:c>
      <x:c r="H159" t="inlineStr">
        <x:is>
          <x:t xml:space="preserve">GA</x:t>
        </x:is>
      </x:c>
      <x:c r="I159" t="n">
        <x:v>1</x:v>
      </x:c>
      <x:c r="J159" t="str">
        <x:v>الخلفية المهنية قريبة نسبياً وتدعم بعض جوانب العمل في Inventory Control Analyst، إلا أن بعض المتطلبات تحتاج تدريب إضافي.</x:v>
      </x:c>
      <x:c r="K159" t="n">
        <x:v>1</x:v>
      </x:c>
      <x:c r="L159" t="str">
        <x:v>وجهة نظر ثانية: الملف يظهر بعض التقارب، لكني أرى ضرورة التأكد من المهارات التخصصية في المقابلة.</x:v>
      </x:c>
      <x:c r="M159" t="n">
        <x:v>1</x:v>
      </x:c>
      <x:c r="N159" t="n">
        <x:v>1</x:v>
      </x:c>
    </x:row>
    <x:row r="160">
      <x:c r="A160" t="inlineStr">
        <x:is>
          <x:t xml:space="preserve">RR-159</x:t>
        </x:is>
      </x:c>
      <x:c r="B160" t="inlineStr">
        <x:is>
          <x:t xml:space="preserve">CV-14</x:t>
        </x:is>
      </x:c>
      <x:c r="C160" t="inlineStr">
        <x:is>
          <x:t xml:space="preserve">degree: masters. experience level: senior-level. target role: nurse. skills: compassion, medical terminology, healthcare, first aid, cpr.</x:t>
        </x:is>
      </x:c>
      <x:c r="D160" t="inlineStr">
        <x:is>
          <x:t xml:space="preserve">Clinical Documentation Specialist</x:t>
        </x:is>
      </x:c>
      <x:c r="E160" t="inlineStr">
        <x:is>
          <x:t xml:space="preserve">St. Bernard Hospital and Health Care Center is committed to participate as an active partner in the well-being of the community we serve. Since our founding in 1904, St. Bernard Hospital and Health Care Center has been a continuously growing entity within Englewood and the Southside communities of Chicago. Description: The Clinical Documentation Specialist (CDS) is responsible for reviewing concurrently medical records to facilitate the accurate representation of the severity of patient illness. This involves extensive record review, interaction with physicians, HIM professionals, case managers, nursing staff, and patient accounting staff. Active participation in team meetings and education of staff in the documentation management process is vital. The CDS facilitates and obtains appropriate physician documentation for any clinical conditions or procedures to support the appropriate severity of illness, expected risk of mortality, and complexity of care of the patient The CDS exhibits a sufficient knowledge of clinical documentation requirements, DRG assignment, and clinical conditions or procedures. The CDS educates members of the patient care team regarding documentation guidelines, including attending physicians, allied health practitioners, nursing, and case management EOE “A Tradition of Caring" since 1904.</x:t>
        </x:is>
      </x:c>
      <x:c r="F160" t="inlineStr">
        <x:is>
          <x:t xml:space="preserve">Graduate of an accredited Health Information Management program, Nursing program, or related Allied Health Degree program. Minimum of two (2) years of acute care nursing experience or health information management coding experience. Proficiency with Microsoft applications and Meditech Operating Systems. Exhibit strong communication and interpersonal skills. Experience with JCAHO regulations a plus. Qualified candidates must be familiar with standard concepts, practices, and procedures within the health care field.</x:t>
        </x:is>
      </x:c>
      <x:c r="G160" t="inlineStr">
        <x:is>
          <x:t xml:space="preserve">CHICAGO</x:t>
        </x:is>
      </x:c>
      <x:c r="H160" t="inlineStr">
        <x:is>
          <x:t xml:space="preserve">IL</x:t>
        </x:is>
      </x:c>
      <x:c r="I160" t="n">
        <x:v>2</x:v>
      </x:c>
      <x:c r="J160" t="str">
        <x:v>خبرات المرشح كـ nurse والمهارات المذكورة تغطي كافة الجوانب الأساسية المطلوبة لدور Clinical Documentation Specialist.</x:v>
      </x:c>
      <x:c r="K160" t="n">
        <x:v>2</x:v>
      </x:c>
      <x:c r="L160" t="str">
        <x:v>مرشح قوي: المطابقة عالية ومباشرة لجميع المسؤوليات اليومية المطلوبة.</x:v>
      </x:c>
      <x:c r="M160" t="n">
        <x:v>2</x:v>
      </x:c>
      <x:c r="N160" t="n">
        <x:v>2</x:v>
      </x:c>
    </x:row>
    <x:row r="161">
      <x:c r="A161" t="inlineStr">
        <x:is>
          <x:t xml:space="preserve">RR-160</x:t>
        </x:is>
      </x:c>
      <x:c r="B161" t="inlineStr">
        <x:is>
          <x:t xml:space="preserve">CV-03</x:t>
        </x:is>
      </x:c>
      <x:c r="C161" t="inlineStr">
        <x:is>
          <x:t xml:space="preserve">degree: phd. experience level: senior-level. target role: financial analyst. skills: forecasting, financial modelling, excel, budgeting, market research.</x:t>
        </x:is>
      </x:c>
      <x:c r="D161" t="inlineStr">
        <x:is>
          <x:t xml:space="preserve">Sr. Financial Analyst</x:t>
        </x:is>
      </x:c>
      <x:c r="E161" t="inlineStr">
        <x:is>
          <x:t xml:space="preserve">Summary : We are currently looking for a Sr. Financial Analyst for the Finance and Planning team at Prestige Cruise Holdings Inc. (PCH), the parent company of Oceania Cruises, Inc. (OCI) and Regent Seven Seas Cruises, Inc. (RSSC). This position will report to the Director of Financial Planning. This individual will be expected to take an active role in preparing monthly forecasts and variance analyses. Essential Duties and Responsibilities : A ssist in preparing the monthly management reports and the quarterly financial package Help consolidate the monthly forecast results, provide value-added analysis for senior management Help consolidate the annual budget and manage the budget process Create and maintain various financial models to support Finance Department Conduct ad-hoc financial analysis and participate in various projects as requested by management Will work with all internal departments to compile the company’s overall forecast and budget financial statements</x:t>
        </x:is>
      </x:c>
      <x:c r="F161" t="inlineStr">
        <x:is>
          <x:t xml:space="preserve">Qualifications: Experience: B usiness/financial planning and analysis experience required. C ruise and/or hospitality industry a plus Proficient in Microsoft Excel, with strong spreadsheet modeling and data querying skills. Inquisitive and analytically minded Strong work ethic and ability to work independently, self start and meet deadlines Strong communication skills, verbal and written and ability to multi-task Strong organizational and interpersonal skills, and ability to work at all levels and across all functions in the organization Ability to multi-task is essential. Attention to detail to ensure accuracy in analysis and presentations Education: Bachelor’s degree in Finance or Accounting, with solid understanding of GAAP MBA/CPA a plus</x:t>
        </x:is>
      </x:c>
      <x:c r="G161" t="inlineStr">
        <x:is>
          <x:t xml:space="preserve">DORAL</x:t>
        </x:is>
      </x:c>
      <x:c r="H161" t="inlineStr">
        <x:is>
          <x:t xml:space="preserve">FL</x:t>
        </x:is>
      </x:c>
      <x:c r="I161" t="n">
        <x:v>2</x:v>
      </x:c>
      <x:c r="J161" t="str">
        <x:v>مرشح قوي وجاهز للقيام بمهام Sr. Financial Analyst بناءً على الخلفية المهنية المعروضة.</x:v>
      </x:c>
      <x:c r="K161" t="n">
        <x:v>2</x:v>
      </x:c>
      <x:c r="L161" t="str">
        <x:v>توصية بالمقابلة: المهارات والمؤهلات تتوافق تماماً مع الوصف الوظيفي لـ Sr. Financial Analyst.</x:v>
      </x:c>
      <x:c r="M161" t="n">
        <x:v>2</x:v>
      </x:c>
      <x:c r="N161" t="n">
        <x:v>2</x:v>
      </x:c>
    </x:row>
    <x:row r="162">
      <x:c r="A162" t="inlineStr">
        <x:is>
          <x:t xml:space="preserve">RR-161</x:t>
        </x:is>
      </x:c>
      <x:c r="B162" t="inlineStr">
        <x:is>
          <x:t xml:space="preserve">CV-09</x:t>
        </x:is>
      </x:c>
      <x:c r="C162" t="inlineStr">
        <x:is>
          <x:t xml:space="preserve">degree: masters. experience level: senior-level. target role: software engineer. skills: software development, java, python, c++, agile.</x:t>
        </x:is>
      </x:c>
      <x:c r="D162" t="inlineStr">
        <x:is>
          <x:t xml:space="preserve">Recieving &amp; Packing Warehouse Associate</x:t>
        </x:is>
      </x:c>
      <x:c r="E162" t="inlineStr">
        <x:is>
          <x:t xml:space="preserve">Receiving, picking, packing warehouse associate JOB DUTIES - Assure accurate receipt of products following standard warehouse procedures - Checks all shipments for accuracy - Assisting with unloading of freight - Maintains inventory counts on a weekly and quarterly basis - Assures the warehouse is organized and kept in orderly fashion - Ability to work on warehouse floor alongside staff - Perform at 100% accuracy rate - Work safely and follow safety guidelines - Ship all orders on time, in full, and error free. - Fully understands the flow of all processes and equipment in all departments - Inventory and ordering of supplies as needed - Other duties as assigned</x:t>
        </x:is>
      </x:c>
      <x:c r="F162" t="inlineStr">
        <x:is>
          <x:t xml:space="preserve">REQUIREMENTS - High School Diploma or equivalent. College diploma preferred - 2 to 4 years experience in a warehouse setting - Must live within a 15-20 minute drive of Mooresville, NC - Must be computer savvy - Advanced knowledge of UPS, FEDEX, and LTL a must - Mechanically inclined - Able to work well with others - Ability to take initiative, maintain confidentiality, meet deadlines, and work in a team environment - Able to handle the fluctuating temperatures of a warehouse - Must be in good physical shape. - Must be able to lift up to 50 lbs - Stand up to 8 hours a day 5-6 days a week - Must be able to work weekends with little or no notice. (rarely) - Excellent math skills required - Complete background check and drug screening required This will be a part time position with the possibility of going full time. Hours will be Monday and Tuesday, 9:00 AM until around 5:00 PM Starting pay will be $8.00 an hour + bonus. Please email resume and cover letter.</x:t>
        </x:is>
      </x:c>
      <x:c r="G162" t="inlineStr">
        <x:is>
          <x:t xml:space="preserve">MOORESVILLE</x:t>
        </x:is>
      </x:c>
      <x:c r="H162" t="inlineStr">
        <x:is>
          <x:t xml:space="preserve">NC</x:t>
        </x:is>
      </x:c>
      <x:c r="I162" t="n">
        <x:v>0</x:v>
      </x:c>
      <x:c r="J162" t="str">
        <x:v>المرشح مستهدف العمل كـ software engineer، بينما الوظيفة المعروضة هي Recieving &amp; Packing Warehouse Associate. الاختلاف كبير في طبيعة المهام والمسار المهني.</x:v>
      </x:c>
      <x:c r="K162" t="n">
        <x:v>0</x:v>
      </x:c>
      <x:c r="L162" t="str">
        <x:v>تقييم مستقل: المرشح مركز تماماً على مجال software engineer وهو بعيد عن النطاق التشغيلي لدور Recieving &amp; Packing Warehouse Associate.</x:v>
      </x:c>
      <x:c r="M162" t="n">
        <x:v>0</x:v>
      </x:c>
      <x:c r="N162" t="n">
        <x:v>0</x:v>
      </x:c>
    </x:row>
    <x:row r="163">
      <x:c r="A163" t="inlineStr">
        <x:is>
          <x:t xml:space="preserve">RR-162</x:t>
        </x:is>
      </x:c>
      <x:c r="B163" t="inlineStr">
        <x:is>
          <x:t xml:space="preserve">CV-27</x:t>
        </x:is>
      </x:c>
      <x:c r="C163" t="inlineStr">
        <x:is>
          <x:t xml:space="preserve">degree: phd. experience level: senior-level. target role: cloud architect. skills: azure, scalability, solution architecture, aws, cloud computing.</x:t>
        </x:is>
      </x:c>
      <x:c r="D163" t="inlineStr">
        <x:is>
          <x:t xml:space="preserve">Processing Technician</x:t>
        </x:is>
      </x:c>
      <x:c r="E163" t="inlineStr">
        <x:is>
          <x:t xml:space="preserve">Job Summary Perform various processing and data entry functions for underwriters as assigned. Duties &amp; Essential Job Functions Enter data, per underwriter instructions, into rating systems. distribute rating sheets and quote sheets, as instructed . Issue and assemble policies/endorsements, mailing or emailing them to the agen ts. Communicate with underwriters by answering questions and/or providing information/documents as requested. Prepare mail for the post office. Create/Mail cancellation or non-renewal notices when needed. Take Certificate of Mail Reports and envelopes to the post office for signature/post office stamping. return validated reports to the office. Enter billing/accounting information for policies/endorsements in databases. Update/distribute spreadsheets as directed by the underwriters or AVP. Maintain a consistent quantity and quality of work, at prescribed standards. Perform other duties as assigned.</x:t>
        </x:is>
      </x:c>
      <x:c r="F163" t="inlineStr">
        <x:is>
          <x:t xml:space="preserve">Job Requirements : This person should have window-based application experience and be proficient with Word/Excel/Adobe Insurance experience a plus</x:t>
        </x:is>
      </x:c>
      <x:c r="G163" t="inlineStr">
        <x:is>
          <x:t xml:space="preserve">ALPHARETTA</x:t>
        </x:is>
      </x:c>
      <x:c r="H163" t="inlineStr">
        <x:is>
          <x:t xml:space="preserve">GA</x:t>
        </x:is>
      </x:c>
      <x:c r="I163" t="n">
        <x:v>0</x:v>
      </x:c>
      <x:c r="J163" t="str">
        <x:v>عدم مطابقة: خبرات المرشح موجهة نحو cloud architect، وهي بعيدة عن متطلبات دور Processing Technician.</x:v>
      </x:c>
      <x:c r="K163" t="n">
        <x:v>0</x:v>
      </x:c>
      <x:c r="L163" t="str">
        <x:v>استبعاد: الفجوة كبيرة في المهارات بين التخصص المستهدف (cloud architect) والمسؤوليات المحددة لـ Processing Technician.</x:v>
      </x:c>
      <x:c r="M163" t="n">
        <x:v>0</x:v>
      </x:c>
      <x:c r="N163" t="n">
        <x:v>0</x:v>
      </x:c>
    </x:row>
    <x:row r="164">
      <x:c r="A164" t="inlineStr">
        <x:is>
          <x:t xml:space="preserve">RR-163</x:t>
        </x:is>
      </x:c>
      <x:c r="B164" t="inlineStr">
        <x:is>
          <x:t xml:space="preserve">CV-30</x:t>
        </x:is>
      </x:c>
      <x:c r="C164" t="inlineStr">
        <x:is>
          <x:t xml:space="preserve">degree: masters. experience level: senior-level. target role: pilot. skills: navigation, air traffic control, risk management, emergency response, weather analysis.</x:t>
        </x:is>
      </x:c>
      <x:c r="D164" t="inlineStr">
        <x:is>
          <x:t xml:space="preserve">Medical Front Office</x:t>
        </x:is>
      </x:c>
      <x:c r="E164" t="inlineStr">
        <x:is>
          <x:t xml:space="preserve">Experienced Medical Front Office person for busy specialty practice.</x:t>
        </x:is>
      </x:c>
      <x:c r="F164" t="inlineStr">
        <x:is>
          <x:t xml:space="preserve">Minimum of 2 years working in a medical office setting as a front office reception/check-in. This candidate must possess excellent communication skills and enjoy working closely with others in a customer service environment. The ideal candidate must have experience verifying insurance, eligibility, patient check-out with collecting of coinsurance and co-pays, scheduling of appointments, computer and telephone etiquette skills. Experience with call-center inquiry tracking software such as SalesForce is helpful. English and Spanish fluency is preferred. Medical Assistant certification is preferred. We desire committed, hard-working employees that are able to see the whole picture and have a positive attitude for the fast paced environment. The ability to work effectively as a part of a team is mandatory.</x:t>
        </x:is>
      </x:c>
      <x:c r="G164" t="inlineStr">
        <x:is>
          <x:t xml:space="preserve">PHOENIX</x:t>
        </x:is>
      </x:c>
      <x:c r="H164" t="inlineStr">
        <x:is>
          <x:t xml:space="preserve">AZ</x:t>
        </x:is>
      </x:c>
      <x:c r="I164" t="n">
        <x:v>0</x:v>
      </x:c>
      <x:c r="J164" t="str">
        <x:v>المؤهلات في السيرة الذاتية تخص مجالات pilot فقط، ولا توجد خبرة سابقة في مسؤوليات Medical Front Office.</x:v>
      </x:c>
      <x:c r="K164" t="n">
        <x:v>0</x:v>
      </x:c>
      <x:c r="L164" t="str">
        <x:v>ملاحظة المراجع الثاني: بعد التدقيق، لا توجد خبرة عمل معتمدة تتناسب مع متطلبات وظيفة Medical Front Office.</x:v>
      </x:c>
      <x:c r="M164" t="n">
        <x:v>0</x:v>
      </x:c>
      <x:c r="N164" t="n">
        <x:v>0</x:v>
      </x:c>
    </x:row>
    <x:row r="165">
      <x:c r="A165" t="inlineStr">
        <x:is>
          <x:t xml:space="preserve">RR-164</x:t>
        </x:is>
      </x:c>
      <x:c r="B165" t="inlineStr">
        <x:is>
          <x:t xml:space="preserve">CV-21</x:t>
        </x:is>
      </x:c>
      <x:c r="C165" t="inlineStr">
        <x:is>
          <x:t xml:space="preserve">degree: bachelors. experience level: mid-level. target role: data analyst. skills: sql, data reporting, excel, statistics, data analysis.</x:t>
        </x:is>
      </x:c>
      <x:c r="D165" t="inlineStr">
        <x:is>
          <x:t xml:space="preserve">Business Analyst</x:t>
        </x:is>
      </x:c>
      <x:c r="E165" t="inlineStr">
        <x:is>
          <x:t xml:space="preserve">iPass changes the economics of enterprise mobility and revolutionizes the connectivity experience. At iPass we strive to be the voice of the enterprise in the mobility space by providing services that simply, smartly and openly facilitate access from any device on any network, while providing the visibility and control necessary to support the demands of the enterprise customer. Founded in 1996, iPass products and services transparently facilitate every connection, regardless of underlying network or device; provide the enterprise with carrier independence and reduce lock-in costs; and give the enterprise a new level of choice and control to drive down costs and maintain security in a world where consumers drive enterprise IT. With 3,500 enterprise customers worldwide, including more than 370 of the Forbes Global 2000, iPass is a leading provider of enterprise mobility services. Headquartered in Redwood Shores, Calif., iPass (NASDAQ: IPAS) is a publicly traded company. We are currently accepting applications for a Business Analyst. This position will be based in Irvine, California **Only Local Candidates Will Be Considered** Position Overview: A hands-on position in a fast paced dynamic environment reporting to the Senior Manager of the Billing Operations group for the Managed Network Services division of iPass in Irvine, CA. This position is responsible for customer billings &amp; invoicing, month end close process, customer analysis, billing system maintenance and reporting. The Business Analyst must be able to interface and communicate with customers both internal and external regarding invoicing, customer inquiries and collection issues. Principal Responsibilities: Responsible for timely and accurate completion of +100 customer billings &amp; invoicing each month in accordance with contracted terms &amp; conditions. This includes: Detail review, reconciliation, &amp; audit of monthly recurring fees, non recurring charges, and pass thru fees by endpoint Ensure exceptions are noted and documented Comparative analysis to prior period Ensure manual fees are charged appropriately Compliance with Sales tax Final reconciliation of detail reports on Portal and FBB history Contract pricing review for miscellaneous fees Ensure new customer accounts &amp; amendments are set-up &amp; documented properly in the billing system and in accordance with contracted terms and internal policy and procedures. This includes meeting with sales, pricing, legal, order management etc. to review billing terms and obtain approval of the contract interpretation before billing. Work with internal groups such as sales, provisioning, &amp; legal to resolve issues impacting billing including process and system re-engineering. Reconcile and update month-end schedules and perform ad-hoc reporting as needed. Responsible for month-end inventory count and account reconciliation as well as preparing month-end journal entries for revenue including proper classification by fee type and deferral of fees billed in advance. Monitor customer AR aging and assist in collection and be responsible for SOX testing and documentation as well as participating in other projects &amp; duties as required.</x:t>
        </x:is>
      </x:c>
      <x:c r="F165" t="inlineStr">
        <x:is>
          <x:t xml:space="preserve">A BA or BS undergraduate degree is required, preferably in Accounting or Finance. A minimum 3+ years experience in Accounting or Finance and/or Customer Billing &amp; Collection required. Strong accounting, quantitative and analytical skills with ability to solve business problems along with advanced MS Excel, Word, and Power Point Skills. Excel requirements include being proficient with pivot table knowledge, vlookup and “if then" formulas. Knowledge of SQL or query writing tools preferred. Possess high standards of quality and be self-motivated, confident individual who works with little or no supervision and demonstrates initiative, flexibility, teamwork, maturity under pressure. Capable of working with discretion and tact in an environment exposed to a high level of sensitive and confidential information. iPass offers a competitive salary and benefits package. If your qualifications are a match for this position, please email your resume and salary requirements to: jobs@ipass.com. iPass is an Equal Opportunity Employer.</x:t>
        </x:is>
      </x:c>
      <x:c r="G165" t="inlineStr">
        <x:is>
          <x:t xml:space="preserve">IRVINE</x:t>
        </x:is>
      </x:c>
      <x:c r="H165" t="inlineStr">
        <x:is>
          <x:t xml:space="preserve">CA</x:t>
        </x:is>
      </x:c>
      <x:c r="I165" t="n">
        <x:v>1</x:v>
      </x:c>
      <x:c r="J165" t="str">
        <x:v>تقارب جزئي في المهارات العملية، ولكن يحتاج لمراجعة تفصيلية في المقابلة للتأكد من مدى ملاءمته لمهام Business Analyst.</x:v>
      </x:c>
      <x:c r="K165" t="n">
        <x:v>1</x:v>
      </x:c>
      <x:c r="L165" t="str">
        <x:v>وجهة نظر ثانية: الملف يظهر بعض التقارب، لكني أرى ضرورة التأكد من المهارات التخصصية في المقابلة.</x:v>
      </x:c>
      <x:c r="M165" t="n">
        <x:v>1</x:v>
      </x:c>
      <x:c r="N165" t="n">
        <x:v>1</x:v>
      </x:c>
    </x:row>
    <x:row r="166">
      <x:c r="A166" t="inlineStr">
        <x:is>
          <x:t xml:space="preserve">RR-165</x:t>
        </x:is>
      </x:c>
      <x:c r="B166" t="inlineStr">
        <x:is>
          <x:t xml:space="preserve">CV-05</x:t>
        </x:is>
      </x:c>
      <x:c r="C166" t="inlineStr">
        <x:is>
          <x:t xml:space="preserve">degree: masters. experience level: senior-level. target role: database administrator. skills: optimization, cloud databases, sql, database management, performance tuning.</x:t>
        </x:is>
      </x:c>
      <x:c r="D166" t="inlineStr">
        <x:is>
          <x:t xml:space="preserve">Data Entry/Customer Service Specialist</x:t>
        </x:is>
      </x:c>
      <x:c r="E166" t="inlineStr">
        <x:is>
          <x:t xml:space="preserve">DATA ENTRY/CUSTOMER SERVICE SPECIALIST StaffOne has a Major Client in the Jewelry Industry seeking a Top Notch Data Entry/Customer Service candidate. This company offers a competitive compensation package with medical benefits and 401K plan as well as potential for growth. The Responsibilities include, but are not limited to the following: Alphabetic and Numeric Data Entry Working Closely with customers Process incoming orders Follow-up on order status</x:t>
        </x:is>
      </x:c>
      <x:c r="F166" t="inlineStr">
        <x:is>
          <x:t xml:space="preserve">The following skills are required in order to be considered: Should be fluent in spanish Minimum 10k plus keystrokes Excellent computer skills Must possess Excellent Data Entry and Book-keeping skills. Outstanding interpersonal, written and oral communications Must work well as a team member and independently Able to meet deadlines in an efficient manner *If you do not meet any of these requirements please do not apply as you will not be considered. Please submit all resumes to: resumes2012@staffonenyc.com</x:t>
        </x:is>
      </x:c>
      <x:c r="G166" t="inlineStr">
        <x:is>
          <x:t xml:space="preserve">NEW YORK</x:t>
        </x:is>
      </x:c>
      <x:c r="H166" t="inlineStr">
        <x:is>
          <x:t xml:space="preserve">NY</x:t>
        </x:is>
      </x:c>
      <x:c r="I166" t="n">
        <x:v>0</x:v>
      </x:c>
      <x:c r="J166" t="str">
        <x:v>لا يوجد أي تقاطع مهني بين دور Data Entry/Customer Service Specialist المطلوبة والاهتمام المهني للمرشح كـ database administrator.</x:v>
      </x:c>
      <x:c r="K166" t="n">
        <x:v>0</x:v>
      </x:c>
      <x:c r="L166" t="str">
        <x:v>استبعاد: الفجوة كبيرة في المهارات بين التخصص المستهدف (database administrator) والمسؤوليات المحددة لـ Data Entry/Customer Service Specialist.</x:v>
      </x:c>
      <x:c r="M166" t="n">
        <x:v>0</x:v>
      </x:c>
      <x:c r="N166" t="n">
        <x:v>0</x:v>
      </x:c>
    </x:row>
    <x:row r="167">
      <x:c r="A167" t="inlineStr">
        <x:is>
          <x:t xml:space="preserve">RR-166</x:t>
        </x:is>
      </x:c>
      <x:c r="B167" t="inlineStr">
        <x:is>
          <x:t xml:space="preserve">CV-25</x:t>
        </x:is>
      </x:c>
      <x:c r="C167" t="inlineStr">
        <x:is>
          <x:t xml:space="preserve">degree: phd. experience level: senior-level. target role: graphic designer. skills: photo editing, branding, web design, adobe photoshop, typography.</x:t>
        </x:is>
      </x:c>
      <x:c r="D167" t="inlineStr">
        <x:is>
          <x:t xml:space="preserve">Senior Designer</x:t>
        </x:is>
      </x:c>
      <x:c r="E167" t="inlineStr">
        <x:is>
          <x:t xml:space="preserve">SENIOR DESIGNER – EAST OF QUEENS, ON LONG ISLAND, NY PeopleFind Inc. is an Executive Search and Outplacement firm committed to the delivery of outstanding results. For job seekers, we encourage you to visit our Web site and take advantage of the many free resources available to you. For employers, we promise to deliver the best service, price and guarantee combination available in the industry. Visit PeopleFindInc.com for more information. POSITION LOCATION: Position is based east of Queens, on Long Island, NY. We advertise in various locations to raise the visibility of this opportunity for those interested in relocating. THE OPPORTUNITY: Our client, a marketing communications and corporate design company, seeks to engage the services of a Senior Designer, experienced in corporate package design work in the food industry. This position is based east of Queens, on Long Island. RESPONSIBILITIES: Lead and manage large, complex client projects from strategy and concept development through production. Work with and lead a team of designers to design the overall look of a campaign, lead branding sessions, review client deliverables for strategy alignment, lead and direct concept development teams, do layout changes, design guidelines for multiple campaign deliverables. Present concepts with passion and credibility to internal and external clients.</x:t>
        </x:is>
      </x:c>
      <x:c r="F167" t="inlineStr">
        <x:is>
          <x:t xml:space="preserve">8 - 10 years experience in designing packaging, in-store and marketing materials. Bachelors Degree in Graphic Design. Experience managing within a client services environment. Excellent communication and presentation skills (verbal and written). Ability to delegate and coordinate work activities. Stays current on industry trends. Is driven to search out stimuli that will drive design expertise. Ability to multi-task and effectively work under changing priorities and deadlines. Strong problem solving skills with a strong attention to details. Mastery of Mac, Creative Suite, Microsoft Office, Quark, and Flash a plus. Team player, self-starter with positive “can-do" attitude. COMPENSATION: Salary is commensurate with experience. TO APPLY: Please state position applied for as “Senior Designer" and send resume by Email or Fax to PeopleFind Inc: Email: sds-c@peoplefindinc.com Fax: 1-866-477-9170 (toll-free) We appreciate all expressions of interest, however, as a practical matter, only select candidates whose backgrounds best match our client's requirements will be contacted. All resumes are retained and treated confidentially for consideration against future opportunities. CONFIDENTIALITY: Your resume is held in confidence and will not be sent to any employer without your prior permission. Services We Provide: Recruit for Most Business Roles : This includes management, executive, contract, temporary, temp, permanent, president, CEO, CIO, COO, CFO, CTO, C-Level, accounting, accountant, finance, financial, banking, legal, sales, sales representative, sales rep, retail, marketing, advertising, brand, branding, account executive, national accounts, key account, engineering, engineer, project manager, information technology, IT, human resources, HR, logistics, distribution, procurement, buyer, supply chain. Call us at 1-866-477-0855. Type of Executive Search / Recruiting Engagements : We work on retainer, exclusive contingency, and contingency agreements depending on complexity and confidentiality of assignment. We place both permanent and contact employees. Call us at 1-866-477-0855. PeopleFind Outplacement, Career Transition and Career Coaching : We provide career transition services including career assessment, job search planning, employment networking, resumes and cover letters, interview skills coaching, downsizings, terminations and reorganization consulting and all services associated with an employee release. We assist every level including executives, professionals, management and front line staff. We offer service worldwide using E-Learning via the web / internet and telephone and affiliates. Call us at 1-866-477-0855.</x:t>
        </x:is>
      </x:c>
      <x:c r="G167" t="inlineStr">
        <x:is>
          <x:t xml:space="preserve">NEW YORK</x:t>
        </x:is>
      </x:c>
      <x:c r="H167" t="inlineStr">
        <x:is>
          <x:t xml:space="preserve">NY</x:t>
        </x:is>
      </x:c>
      <x:c r="I167" t="n">
        <x:v>2</x:v>
      </x:c>
      <x:c r="J167" t="str">
        <x:v>تطابق ممتاز في المؤهلات والخبرات العملية مع الشاغر الوظيفي (Senior Designer).</x:v>
      </x:c>
      <x:c r="K167" t="n">
        <x:v>2</x:v>
      </x:c>
      <x:c r="L167" t="str">
        <x:v>توصية بالمقابلة: المهارات والمؤهلات تتوافق تماماً مع الوصف الوظيفي لـ Senior Designer.</x:v>
      </x:c>
      <x:c r="M167" t="n">
        <x:v>2</x:v>
      </x:c>
      <x:c r="N167" t="n">
        <x:v>2</x:v>
      </x:c>
    </x:row>
    <x:row r="168">
      <x:c r="A168" t="inlineStr">
        <x:is>
          <x:t xml:space="preserve">RR-167</x:t>
        </x:is>
      </x:c>
      <x:c r="B168" t="inlineStr">
        <x:is>
          <x:t xml:space="preserve">CV-29</x:t>
        </x:is>
      </x:c>
      <x:c r="C168" t="inlineStr">
        <x:is>
          <x:t xml:space="preserve">degree: bachelors. experience level: senior-level. target role: dentist. skills: anatomy, orthodontics, oral health, patient care, oral hygiene.</x:t>
        </x:is>
      </x:c>
      <x:c r="D168" t="inlineStr">
        <x:is>
          <x:t xml:space="preserve">Admissions Specialist</x:t>
        </x:is>
      </x:c>
      <x:c r="E168" t="inlineStr">
        <x:is>
          <x:t xml:space="preserve">ADMISSIONS SPECIALIST (Dept KB) Mcleod Center Charlotte has an immediate opening for a F/T Admissions Specialist to perform clinical assessments for clients applying for treatment, complete insurance pre-certification reqs and follow-up with referral sources. Must be CSAC; LCSAC; or LPC. Apply online at www. mcleodcenter.com and specify Dept KB, email resume &amp; salary reqs to Jobs@mcleodcenter.com or mail resume &amp; salary reqs to Dept KB 515 Clanton Rd Charlotte NC 28217. NO PHONE CALLS PLEASE. EOE/AA Source - Charlotte Observer</x:t>
        </x:is>
      </x:c>
      <x:c r="F168" t="inlineStr">
        <x:is>
          <x:t xml:space="preserve">Please refer to the Job Description to view the requirements for this job</x:t>
        </x:is>
      </x:c>
      <x:c r="G168" t="inlineStr">
        <x:is>
          <x:t xml:space="preserve">CHARLOTTE</x:t>
        </x:is>
      </x:c>
      <x:c r="H168" t="inlineStr">
        <x:is>
          <x:t xml:space="preserve">NC</x:t>
        </x:is>
      </x:c>
      <x:c r="I168" t="n">
        <x:v>0</x:v>
      </x:c>
      <x:c r="J168" t="str">
        <x:v>عدم مطابقة: خبرات المرشح موجهة نحو dentist، وهي بعيدة عن متطلبات دور Admissions Specialist.</x:v>
      </x:c>
      <x:c r="K168" t="n">
        <x:v>0</x:v>
      </x:c>
      <x:c r="L168" t="str">
        <x:v>تقييم مستقل: المرشح مركز تماماً على مجال dentist وهو بعيد عن النطاق التشغيلي لدور Admissions Specialist.</x:v>
      </x:c>
      <x:c r="M168" t="n">
        <x:v>0</x:v>
      </x:c>
      <x:c r="N168" t="n">
        <x:v>0</x:v>
      </x:c>
    </x:row>
    <x:row r="169">
      <x:c r="A169" t="inlineStr">
        <x:is>
          <x:t xml:space="preserve">RR-168</x:t>
        </x:is>
      </x:c>
      <x:c r="B169" t="inlineStr">
        <x:is>
          <x:t xml:space="preserve">CV-01</x:t>
        </x:is>
      </x:c>
      <x:c r="C169" t="inlineStr">
        <x:is>
          <x:t xml:space="preserve">degree: bachelors. experience level: mid-level. target role: fitness coach. skills: injury prevention, motivation, nutrition, health coaching, strength training.</x:t>
        </x:is>
      </x:c>
      <x:c r="D169" t="inlineStr">
        <x:is>
          <x:t xml:space="preserve">Shipping Clerk</x:t>
        </x:is>
      </x:c>
      <x:c r="E169" t="inlineStr">
        <x:is>
          <x:t xml:space="preserve">IDOC Dental Laboratory is currently looking for a Shipping Clerk that has good computer, typing (40wpm), &amp; multi-tasking skills. The Shipping Clerk is responsible for incoming and outgoing cases. Along with answering phones, and searching for cases. You will invoice, pack cases, and print labels for the couriers, on the 3rd shift. All shipments must be sent out on a timely manner, accuracy is a must. Full Time - Monday thru Friday - 10:30am to 7:30pm (Closer, 3rd shift)...Please be flexible. Pay Rate: $10.00 DOE Read, write, &amp; speak fluent English is a must. College students encouraged to apply. Must be able to pass a background check, drug screening, and prior employment verification. No Walk-Ins...Please apply by Email or Fax.</x:t>
        </x:is>
      </x:c>
      <x:c r="F169" t="inlineStr">
        <x:is>
          <x:t xml:space="preserve">Basic Requirements : Must have experience in the dental field Familiar with UPS/ACC/Ontrac shipping system is recommended ERP (Lab Manager) Fluent in English Excellent communication skills - written, oral, phone Computer and internet experience Team player that is self motivated Must be able to lift up to 35lbs Physical Requirements : Balancing, Carrying, Crouching, Feeling, Grasping, Hearing, Kneeling, Lifting, Pulling, Sitting, Standing,Stooping, Talking, Walking. Exposures : Moving parts, Temperature, Muscular Strain, Weather, Airborne Particles, Fumes.</x:t>
        </x:is>
      </x:c>
      <x:c r="G169" t="inlineStr">
        <x:is>
          <x:t xml:space="preserve">GARDEN GROVE</x:t>
        </x:is>
      </x:c>
      <x:c r="H169" t="inlineStr">
        <x:is>
          <x:t xml:space="preserve">CA</x:t>
        </x:is>
      </x:c>
      <x:c r="I169" t="n">
        <x:v>0</x:v>
      </x:c>
      <x:c r="J169" t="str">
        <x:v>المؤهلات في السيرة الذاتية تخص مجالات fitness coach فقط، ولا توجد خبرة سابقة في مسؤوليات Shipping Clerk.</x:v>
      </x:c>
      <x:c r="K169" t="n">
        <x:v>0</x:v>
      </x:c>
      <x:c r="L169" t="str">
        <x:v>استبعاد: الفجوة كبيرة في المهارات بين التخصص المستهدف (fitness coach) والمسؤوليات المحددة لـ Shipping Clerk.</x:v>
      </x:c>
      <x:c r="M169" t="n">
        <x:v>0</x:v>
      </x:c>
      <x:c r="N169" t="n">
        <x:v>0</x:v>
      </x:c>
    </x:row>
    <x:row r="170">
      <x:c r="A170" t="inlineStr">
        <x:is>
          <x:t xml:space="preserve">RR-169</x:t>
        </x:is>
      </x:c>
      <x:c r="B170" t="inlineStr">
        <x:is>
          <x:t xml:space="preserve">CV-08</x:t>
        </x:is>
      </x:c>
      <x:c r="C170" t="inlineStr">
        <x:is>
          <x:t xml:space="preserve">degree: phd. experience level: mid-level. target role: cybersecurity analyst. skills: penetration testing, incident response, security protocols, network security, ethical hacking.</x:t>
        </x:is>
      </x:c>
      <x:c r="D170" t="inlineStr">
        <x:is>
          <x:t xml:space="preserve">Systems Administrator Jr - Mid Level</x:t>
        </x:is>
      </x:c>
      <x:c r="E170" t="inlineStr">
        <x:is>
          <x:t xml:space="preserve">Work for one of New England's highest rated companies based on employee satisfaction. Outstanding, open environment, with a relaxed company culture and years of proven growth. The firm is investing big capital to expand their IT infrastructure team and is looking to hire a strong Windows Systems Engineer. The successful candidate will join an existing group of seven tasked with supporting and enhancing the internal IT systems as well as overseeing the remote operations of four field offices. Limited to no travel required. Special consideration will be given to candidates with experience in systems security and/or SaaS experience. Mixed Microsoft Windows Server and Linux environment running Exchange and Active Directory. Must have well rounded skills supporting high uptime, mission critical systems, disaster recovery, performance measurement, internet connectivity, phone system support, and security. Certifications a big plus. Highly convenient headquarters close to Mass Pike and 128. Candidates with Bachelor's degrees in MIS or related IT study are encouraged to apply.</x:t>
        </x:is>
      </x:c>
      <x:c r="F170" t="inlineStr">
        <x:is>
          <x:t xml:space="preserve">3+ years of experience with systems administration/ systems engineering 2+ years Virtualization experience: VMWare Experience with SAN technologies. MCSE certification. MCSE 2008 preferred. Experience maintaining LANs, WANs in a business environment.. Expertise with backup software, firewalls, and disaster recovery. Microsoft Exchange Server support. Outstanding communication skills and ability to explain technical concepts to non-technical leadership. SaaS industry experience a plus Bachelors Degree in MIS, Computer Information Systems, or related field preferred. HIRING NOW! All correspondence will be held strictly confidential. For immediate consideration or for more details on the position email Rick Johanson at rick.johanson@cannonsp.com</x:t>
        </x:is>
      </x:c>
      <x:c r="G170" t="inlineStr">
        <x:is>
          <x:t xml:space="preserve">FRAMINGHAM</x:t>
        </x:is>
      </x:c>
      <x:c r="H170" t="inlineStr">
        <x:is>
          <x:t xml:space="preserve">MA</x:t>
        </x:is>
      </x:c>
      <x:c r="I170" t="n">
        <x:v>1</x:v>
      </x:c>
      <x:c r="J170" t="str">
        <x:v>توجد مهارات إدارية وتنظيمية مشتركة مع دور Systems Administrator Jr - Mid Level، لكن المرشح ينقصه التخصص المباشر والخبرة الفنية الدقيقة.</x:v>
      </x:c>
      <x:c r="K170" t="n">
        <x:v>1</x:v>
      </x:c>
      <x:c r="L170" t="str">
        <x:v>تقييم مستقل: توجد مهارات عامة يمكن الاستفادة منها، ولكن التأهيل غير مكتمل لوظيفة Systems Administrator Jr - Mid Level.</x:v>
      </x:c>
      <x:c r="M170" t="n">
        <x:v>1</x:v>
      </x:c>
      <x:c r="N170" t="n">
        <x:v>1</x:v>
      </x:c>
    </x:row>
    <x:row r="171">
      <x:c r="A171" t="inlineStr">
        <x:is>
          <x:t xml:space="preserve">RR-170</x:t>
        </x:is>
      </x:c>
      <x:c r="B171" t="inlineStr">
        <x:is>
          <x:t xml:space="preserve">CV-24</x:t>
        </x:is>
      </x:c>
      <x:c r="C171" t="inlineStr">
        <x:is>
          <x:t xml:space="preserve">degree: phd. experience level: senior-level. target role: accountant. skills: financial analysis, accounting software, auditing, budgeting, spreadsheet skills.</x:t>
        </x:is>
      </x:c>
      <x:c r="D171" t="inlineStr">
        <x:is>
          <x:t xml:space="preserve">Senior Accountant - Chicago Loop!</x:t>
        </x:is>
      </x:c>
      <x:c r="E171" t="inlineStr">
        <x:is>
          <x:t xml:space="preserve">Our client is a thriving sports entertainment company that hosts events around the country. They are currently looking for a Senior Accountant to work directly with their CFO and President. This is a highly strategic role and listed below is only a small sample of the job duties for the role. Responsibilities: Manage and maintain the Company's general ledger accounting, including monthly, quarterly, and annual close processes Manage and process accounts payable and receivable Manage and reconcile small amount of finished goods inventory Process payroll including HSA, PTO accruals, and other benefits Assist with the Company's Financial Planning &amp; Analysis function during month-end close process Assist in the development, testing, documentation, and maintenance of internal controls policies/procedures Prepare periodic reporting packages for senior management and the Board of Directors Lead the annual year-end audit process with external auditors Support process for completion of annual income tax filings by external accountants Complete all non-income tax related filings (1099s, property tax, etc)</x:t>
        </x:is>
      </x:c>
      <x:c r="F171" t="inlineStr">
        <x:is>
          <x:t xml:space="preserve">Qualifications: Bachelor's degree in Accounting or Finance 4 – 8 years of relevant accounting experience Strong writing, communication and interpersonal skills Strong computer skills including experience with QuickBooks Able to manage/complete multiple projects in a highly dynamic, rapid growth environment</x:t>
        </x:is>
      </x:c>
      <x:c r="G171" t="inlineStr">
        <x:is>
          <x:t xml:space="preserve">CHICAGO</x:t>
        </x:is>
      </x:c>
      <x:c r="H171" t="inlineStr">
        <x:is>
          <x:t xml:space="preserve">IL</x:t>
        </x:is>
      </x:c>
      <x:c r="I171" t="n">
        <x:v>2</x:v>
      </x:c>
      <x:c r="J171" t="str">
        <x:v>تطابق ممتاز في المؤهلات والخبرات العملية مع الشاغر الوظيفي (Senior Accountant - Chicago Loop!).</x:v>
      </x:c>
      <x:c r="K171" t="n">
        <x:v>2</x:v>
      </x:c>
      <x:c r="L171" t="str">
        <x:v>تقييم ممتاز: السيرة الذاتية تفي بجميع الشروط وتظهر خبرة متقدمة في مجال Senior Accountant - Chicago Loop!.</x:v>
      </x:c>
      <x:c r="M171" t="n">
        <x:v>2</x:v>
      </x:c>
      <x:c r="N171" t="n">
        <x:v>2</x:v>
      </x:c>
    </x:row>
    <x:row r="172">
      <x:c r="A172" t="inlineStr">
        <x:is>
          <x:t xml:space="preserve">RR-171</x:t>
        </x:is>
      </x:c>
      <x:c r="B172" t="inlineStr">
        <x:is>
          <x:t xml:space="preserve">CV-21</x:t>
        </x:is>
      </x:c>
      <x:c r="C172" t="inlineStr">
        <x:is>
          <x:t xml:space="preserve">degree: bachelors. experience level: mid-level. target role: data analyst. skills: sql, data reporting, excel, statistics, data analysis.</x:t>
        </x:is>
      </x:c>
      <x:c r="D172" t="inlineStr">
        <x:is>
          <x:t xml:space="preserve">Business Intelligence Analyst</x:t>
        </x:is>
      </x:c>
      <x:c r="E172" t="inlineStr">
        <x:is>
          <x:t xml:space="preserve">Position Title: Business Intelligence Analyst Location: Dublin, CA Relocation: Yes - Simple Relocation Position Type: Staff Position with Excellent Benefits Salary: $90K to $115K D.O.E. Position Number: 8088 SUMMARY: Our Client, based in California, is a leader in the manufacturing of industrial fabrics and composite materials employing more than 4,000 people at various sites around the globe. This Client has hired Hallmark to find a Business Systems Analyst to join their Business Intelligence team located in Dublin, CA. You will be responsible for gathering business requirements, analysis, re-engineering, design, and implementing the final solution. You must be an alert and intelligent person who is capable of finding novel and innovative solutions to both business and technical challenges. RESPONSIBILITIES: • Interact with functional experts, at all levels, to understand business issues, challenges and identify new opportunities; • Write clear detailed functional requirements; • Develop functional and technical design specification documents; • Collaborate with users and team members to provide accurate estimates for assigned tasks; • Develop test plan and specification to ensure that developed solution meets all user requirements; • Identify potential risks/issues and recommend creative solutions; • Deliver assignments on-time and on-budget with high level of quality; • Provide accurate timely status reports/scoreboards; • Perform support and troubleshooting to ensure stability of company BI environments; • Work individually and as a team member to ensure stability of company production systems; • Follow entire Software Development Lifecycle methodology. EXPERIENCE AND SKILLS: • Bachelor's degree in Computer Science or equivalent; • 4-6 years development experience in Data Warehouse/Business Intelligence environment is required; • Must have at least 2 data warehouse development efforts, preferably in SQL Server environments; • Expertise in the Microsoft BI solution offerings including SSIS, SSRS, SSAS/MDX , Performance Point is required; • Complete understanding of Software Development Lifecycle methodologies is required • Experience guiding and mentoring both technical and non-technical individuals is required; • Working knowledge of Oracle PL/SQL, Crystal Reports Hyperion Essbase and Sharepoint is preferred. • Experience in OLAP architecture design, multi-dimensional data modeling, data architecture, data mart design, data security and process modeling is preferred. • Perform other assigned tasks/ duties and participate in projects as assigned. OTHER: To view other Hallmark jobs, please go to www.hallmarkit.com Hallmark and our Client are Affirmative Action, Equal Opportunity Employers. We encourage all qualified people with the current right to work for any employer in the USA to apply. NOTE: We cannot consider H-1 Visa candidates for this position. Principals only, please.</x:t>
        </x:is>
      </x:c>
      <x:c r="F172" t="inlineStr">
        <x:is>
          <x:t xml:space="preserve">Bachelor's degree in Computer Science or equivalent; 4-6 years development experience in Data Warehouse/Business Intelligence environment is required; Must have at least 2 data warehouse development efforts, preferably in SQL Server environments; Expertise in the Microsoft BI solution offerings including SSIS, SSRS, SSAS/MDX , Performance Point is required; Complete understanding of Software Development Lifecycle methodologies is required Experience guiding and mentoring both technical and non-technical individuals is required; Working knowledge of Oracle PL/SQL, Crystal Reports Hyperion Essbase and Sharepoint is preferred. Experience in OLAP architecture design, multi-dimensional data modeling, data architecture, data mart design, data security and process modeling is preferred. Perform other assigned tasks/ duties and participate in projects as assigned</x:t>
        </x:is>
      </x:c>
      <x:c r="G172" t="inlineStr">
        <x:is>
          <x:t xml:space="preserve">DUBLIN</x:t>
        </x:is>
      </x:c>
      <x:c r="H172" t="inlineStr">
        <x:is>
          <x:t xml:space="preserve">CA</x:t>
        </x:is>
      </x:c>
      <x:c r="I172" t="n">
        <x:v>2</x:v>
      </x:c>
      <x:c r="J172" t="str">
        <x:v>خبرات المرشح كـ data analyst والمهارات المذكورة تغطي كافة الجوانب الأساسية المطلوبة لدور Business Intelligence Analyst.</x:v>
      </x:c>
      <x:c r="K172" t="n">
        <x:v>2</x:v>
      </x:c>
      <x:c r="L172" t="str">
        <x:v>مرشح قوي: المطابقة عالية ومباشرة لجميع المسؤوليات اليومية المطلوبة.</x:v>
      </x:c>
      <x:c r="M172" t="n">
        <x:v>2</x:v>
      </x:c>
      <x:c r="N172" t="n">
        <x:v>2</x:v>
      </x:c>
    </x:row>
    <x:row r="173">
      <x:c r="A173" t="inlineStr">
        <x:is>
          <x:t xml:space="preserve">RR-172</x:t>
        </x:is>
      </x:c>
      <x:c r="B173" t="inlineStr">
        <x:is>
          <x:t xml:space="preserve">CV-24</x:t>
        </x:is>
      </x:c>
      <x:c r="C173" t="inlineStr">
        <x:is>
          <x:t xml:space="preserve">degree: phd. experience level: senior-level. target role: accountant. skills: financial analysis, accounting software, auditing, budgeting, spreadsheet skills.</x:t>
        </x:is>
      </x:c>
      <x:c r="D173" t="inlineStr">
        <x:is>
          <x:t xml:space="preserve">Financial Analyst</x:t>
        </x:is>
      </x:c>
      <x:c r="E173" t="inlineStr">
        <x:is>
          <x:t xml:space="preserve">Established on the principle that “Our People Make the Difference," LaSalle Network is the leading provider of professional staffing and recruiting services in Chicagoland. We actively serve 2,000 clients and have placed over 25,000 candidates since our inception in 1998. For over thirteen years we have collaborated with job-seekers and employers to deliver deserving candidates into distinguished careers. It is our intention to leave a lasting impression on our candidates and clients and provide them with the opportunity to improve their careers and companies. Our client, a food distributor in the western suburbs, is in search of a financial analyst to join their team. Financial Analyst Responsibilities: Analyze the vendor, brand, and SKU performance and identify the vendors and SKUs that are most and least profitable for the company Communicate Vendor and Brand profitability information based on analysis performed to the appropriate department so that their own assortment decisions maximize enterprise profit Communicate the above return-on-promotion results to our CMs and as needed to our AMs and our vendor community so they can better structure their promotions in order to maximize sales lift Manage/update the category manager performance scorecard that tracks 20+ metrics which determine the teams’ success Complete ad-hoc analyses as requested by the Vice Presidents and or Marketing team members</x:t>
        </x:is>
      </x:c>
      <x:c r="F173" t="inlineStr">
        <x:is>
          <x:t xml:space="preserve">Financial Analyst Requirements: Bachelor’s Degree in Finance, Accounting, Business Administration or related field of study Minimum of two years of related experience in quantitative sales and general business analysis Experience with grocery category management, the CPG industry, or Retail industry a plus Ability to effectively communicate findings and recommendations in writing to internal audiences as well as external Advanced user of Microsoft Excel Proficient Microsoft Access skills Ability to multi-task in a fast-paced business environment Capacity to learn and process quickly Proven record of fact-based decision making using Nielsen, IRI, Spins, Spectra, and other syndicated purchased data a plus If you are interested in the financial analyst opportunity and qualify per the aforementioned requirements, please apply today! Thank you, Jason Siegel Unit Manager, Accounting &amp; Finance LaSalle Network Keywords and Related Terms: Analysis , trend analysis , profitability , SKU , marketing , financial analyst , Excel , Access , Bachelor’s degree , Nielsen , IRI , Spins LaSalle Network is an Equal Opportunity Employer, m/f/d/v.</x:t>
        </x:is>
      </x:c>
      <x:c r="G173" t="inlineStr">
        <x:is>
          <x:t xml:space="preserve">WOODRIDGE</x:t>
        </x:is>
      </x:c>
      <x:c r="H173" t="inlineStr">
        <x:is>
          <x:t xml:space="preserve">IL</x:t>
        </x:is>
      </x:c>
      <x:c r="I173" t="n">
        <x:v>1</x:v>
      </x:c>
      <x:c r="J173" t="str">
        <x:v>تقارب جزئي في المهارات العملية، ولكن يحتاج لمراجعة تفصيلية في المقابلة للتأكد من مدى ملاءمته لمهام Financial Analyst.</x:v>
      </x:c>
      <x:c r="K173" t="n">
        <x:v>0</x:v>
      </x:c>
      <x:c r="L173" t="str">
        <x:v>ملاحظة المراجع الثاني: بعد التدقيق، لا توجد خبرة عمل معتمدة تتناسب مع متطلبات وظيفة Financial Analyst.</x:v>
      </x:c>
      <x:c r="M173" t="n">
        <x:v>1</x:v>
      </x:c>
      <x:c r="N173" t="n">
        <x:v>1</x:v>
      </x:c>
    </x:row>
    <x:row r="174">
      <x:c r="A174" t="inlineStr">
        <x:is>
          <x:t xml:space="preserve">RR-173</x:t>
        </x:is>
      </x:c>
      <x:c r="B174" t="inlineStr">
        <x:is>
          <x:t xml:space="preserve">CV-17</x:t>
        </x:is>
      </x:c>
      <x:c r="C174" t="inlineStr">
        <x:is>
          <x:t xml:space="preserve">degree: bachelors. experience level: senior-level. target role: content writer. skills: research, creative writing, blogging, editing, communication.</x:t>
        </x:is>
      </x:c>
      <x:c r="D174" t="inlineStr">
        <x:is>
          <x:t xml:space="preserve">Staff Accountant to 42k! (Entry Level/Direct Hire)</x:t>
        </x:is>
      </x:c>
      <x:c r="E174" t="inlineStr">
        <x:is>
          <x:t xml:space="preserve">ExecuSource was founded by a "Big 4" CPA to set a new standard in search, career placement and flexible staffing, we deliver coordinated recruiting solutions with unparalleled service, a commitment to success and a passion for innovation, creativity and continuous improvement. Our client, a leading national retailer with offices conveniently located in Atlanta, is currently seeking a bright, motivated recent college Accounting grad to join their rapidly growing team. The individual in this role will become heavily involved in bank reconciliation, journal entries and several aspects of month end, quarter end, year end close. This is an excellent/rare opportunity for a smart graduated who wants to join a solid, yet growing leading employer.</x:t>
        </x:is>
      </x:c>
      <x:c r="F174" t="inlineStr">
        <x:is>
          <x:t xml:space="preserve">Candidate must have a Bachelors in Accounting with work experience either in school or solid internships.</x:t>
        </x:is>
      </x:c>
      <x:c r="G174" t="inlineStr">
        <x:is>
          <x:t xml:space="preserve">ATLANTA</x:t>
        </x:is>
      </x:c>
      <x:c r="H174" t="inlineStr">
        <x:is>
          <x:t xml:space="preserve">GA</x:t>
        </x:is>
      </x:c>
      <x:c r="I174" t="n">
        <x:v>0</x:v>
      </x:c>
      <x:c r="J174" t="str">
        <x:v>المؤهلات في السيرة الذاتية تخص مجالات content writer فقط، ولا توجد خبرة سابقة في مسؤوليات Staff Accountant to 42k! (Entry Level/Direct Hire).</x:v>
      </x:c>
      <x:c r="K174" t="n">
        <x:v>0</x:v>
      </x:c>
      <x:c r="L174" t="str">
        <x:v>تقييم مستقل: المرشح مركز تماماً على مجال content writer وهو بعيد عن النطاق التشغيلي لدور Staff Accountant to 42k! (Entry Level/Direct Hire).</x:v>
      </x:c>
      <x:c r="M174" t="n">
        <x:v>0</x:v>
      </x:c>
      <x:c r="N174" t="n">
        <x:v>0</x:v>
      </x:c>
    </x:row>
    <x:row r="175">
      <x:c r="A175" t="inlineStr">
        <x:is>
          <x:t xml:space="preserve">RR-174</x:t>
        </x:is>
      </x:c>
      <x:c r="B175" t="inlineStr">
        <x:is>
          <x:t xml:space="preserve">CV-16</x:t>
        </x:is>
      </x:c>
      <x:c r="C175" t="inlineStr">
        <x:is>
          <x:t xml:space="preserve">degree: masters. experience level: senior-level. target role: product manager. skills: leadership, product development, cross-functional collaboration, agile, team coordination.</x:t>
        </x:is>
      </x:c>
      <x:c r="D175" t="inlineStr">
        <x:is>
          <x:t xml:space="preserve">Entry Level Management Available Now for Marketing Firm</x:t>
        </x:is>
      </x:c>
      <x:c r="E175" t="inlineStr">
        <x:is>
          <x:t xml:space="preserve">Entry Level Management With our recent expansion, and more to come over the next few months, we currently need to fill 8 immediate entry level management positions to help service our growing client base. These openings are essential to the success of our company, as they will be the future leaders of our company. We are looking to train the right candidates as soon as possible! Candidates will be cross trained in: Event Marketing Event Management Promotional Sales Public Relations Customer Service IMC is an event marketing company based Tukwila, WA. We service the largest Home Improvement clients and are responsible for generating new business and interests for them. NO EXPERIENCE IS NECESSARY!! If you’re looking to get into a NEW CAREER or are just an individual looking for a career change, then please apply! CONTACT US: Please contact our Human Resource Department, ask for Stacy - 206 575 6961 to set up an immediate interview with our hiring manager. Or, you may submit your resume to IMC@careersdept.com immediate review.</x:t>
        </x:is>
      </x:c>
      <x:c r="F175" t="inlineStr">
        <x:is>
          <x:t xml:space="preserve">Excellent verbal and communication skills Professional attitude and attire Ability to work effectively and succeed in a fast paced environment Must have (or be able to learn) leadership skills Ability to prioritize job responsibilities and manage time effectively Must be able to get along well with other team members! Have a Student Mentality. Your own RELIABLE transportation, able to commute from the office to ON SITE events. Student Positions Available! Grads Welcome! Internships Available! KEY WORDS: SALES, MARKETING, ADVERTISING, MANAGEMENT, ENTRY LEVEL MANAGEMENT, OFFICE ADMINISTRATION, DISTRIBUTION, CUSTOMER SERVICE, PUBLIC RELATIONS, INVENTORY CONTROL, SUPERVISORY, RETAIL, ADMINISTRATIVE ASSISTANT, OFFICE, account executive, account exec, account representative, account rep, account manager, account management, sales rep, sales representative, sales exec, sales executive, field sales, ad sales, marketing sales, promotional sales, publishing sales, mortgage sales, loan sales, loan officer, inside sales, outside sales, direct sales, sales professional, sales associate, telemarketing, cold caller, cold calling, salesman, saleswoman, salesperson</x:t>
        </x:is>
      </x:c>
      <x:c r="G175" t="inlineStr">
        <x:is>
          <x:t xml:space="preserve">TUKWILA</x:t>
        </x:is>
      </x:c>
      <x:c r="H175" t="inlineStr">
        <x:is>
          <x:t xml:space="preserve">WA</x:t>
        </x:is>
      </x:c>
      <x:c r="I175" t="n">
        <x:v>0</x:v>
      </x:c>
      <x:c r="J175" t="str">
        <x:v>المرشح غير مناسب لشاغر Entry Level Management Available Now for Marketing Firm؛ توجهه المهني والمهارات المذكورة تنحصر في تخصص product manager.</x:v>
      </x:c>
      <x:c r="K175" t="n">
        <x:v>0</x:v>
      </x:c>
      <x:c r="L175" t="str">
        <x:v>استبعاد: الفجوة كبيرة في المهارات بين التخصص المستهدف (product manager) والمسؤوليات المحددة لـ Entry Level Management Available Now for Marketing Firm.</x:v>
      </x:c>
      <x:c r="M175" t="n">
        <x:v>0</x:v>
      </x:c>
      <x:c r="N175" t="n">
        <x:v>0</x:v>
      </x:c>
    </x:row>
    <x:row r="176">
      <x:c r="A176" t="inlineStr">
        <x:is>
          <x:t xml:space="preserve">RR-175</x:t>
        </x:is>
      </x:c>
      <x:c r="B176" t="inlineStr">
        <x:is>
          <x:t xml:space="preserve">CV-18</x:t>
        </x:is>
      </x:c>
      <x:c r="C176" t="inlineStr">
        <x:is>
          <x:t xml:space="preserve">degree: phd. experience level: senior-level. target role: pharmacist. skills: pharmaceuticals, healthcare, medical terminology, patient consultation, medication dispensing.</x:t>
        </x:is>
      </x:c>
      <x:c r="D176" t="inlineStr">
        <x:is>
          <x:t xml:space="preserve">Compliance Specialist</x:t>
        </x:is>
      </x:c>
      <x:c r="E176" t="inlineStr">
        <x:is>
          <x:t xml:space="preserve">Job Title Compliance Specialist Location Corporate - Massachusetts Department Regulatory Affairs Department Reports To Compliance Supervisor / Vice President of Regulatory Affairs Job Profile &amp; Description The Compliance Specialist will assist in ongoing regulatory and compliance activities under the direct supervision of HealthDrive’s Compliance Supervisor and the general supervision of the Vice President &amp; Regulatory Affairs. Essential Functions - Risk Management. Assist with enterprise risk management activities, including occurrence assessment reporting, HIPAA breach assessments, interfacing with state licensing boards, and drafting responses to federal, state agencies. Work closely with practice directors and general managers. - Quality Assurance. Coordinate coding and documentation reviews of patient medical records to ensure provider billing practices are compliant with applicable rules, regulations, and policies. Assess the accuracy, completeness, specificity, and appropriateness of diagnosis codes based on services rendered. Compliance. Assist with the implementation and assessment of the Compliance Program, including developing and implementing policies, procedures, and education materials. - Research. Research activities include: Researching federal and state regulations, guidelines, policies, procedures, and practices. Researching and maintaining awareness of current, pertinent regulations, guidelines, policies, procedures, and practices. Researching and analyzing changes, updates and proposed changes; provide recommendations. Researching and responding to regulatory and compliance questions. - Communication. Communicate with providers, staff, and Practice Directors to provide direction related to QA, Compliance, and Regulatory issues, including follow up as needed. This includes coordination and participation in meetings with providers, staff, and Directors and preparation of meeting materials (agendas, presentations, etc). - Other duties and tasks may be assigned as appropriate or necessary</x:t>
        </x:is>
      </x:c>
      <x:c r="F176" t="inlineStr">
        <x:is>
          <x:t xml:space="preserve">Skills &amp; Specifications This position requires a person to have the ability to work in a team environment by building and maintaining positive working relationships with physician providers and other corporate personnel. This individual must be a detail-oriented problem-solver; have knowledge of health care and medical terminology; have excellent time management, interpersonal, verbal and written communication, and demonstrated research skills. Education &amp; Qualifications This individual must have a Bachelor’s or equivalent work experience. Prior experience in healthcare is highly preferred and comfort with Microsoft Word and Excel is essential. This is a junior position: 1 to 3 years of experience is preferred.</x:t>
        </x:is>
      </x:c>
      <x:c r="G176" t="inlineStr">
        <x:is>
          <x:t xml:space="preserve">WELLESLEY</x:t>
        </x:is>
      </x:c>
      <x:c r="H176" t="inlineStr">
        <x:is>
          <x:t xml:space="preserve">MA</x:t>
        </x:is>
      </x:c>
      <x:c r="I176" t="n">
        <x:v>1</x:v>
      </x:c>
      <x:c r="J176" t="str">
        <x:v>قبول مبدئي: المرشح يمتلك أساسيات قوية، لكن طبيعة دور Compliance Specialist تختلف عن اهتمامه الرئيسي كـ pharmacist.</x:v>
      </x:c>
      <x:c r="K176" t="n">
        <x:v>2</x:v>
      </x:c>
      <x:c r="L176" t="str">
        <x:v>توصية بالمقابلة: المهارات والمؤهلات تتوافق تماماً مع الوصف الوظيفي لـ Compliance Specialist.</x:v>
      </x:c>
      <x:c r="M176" t="n">
        <x:v>1</x:v>
      </x:c>
      <x:c r="N176" t="n">
        <x:v>1</x:v>
      </x:c>
    </x:row>
    <x:row r="177">
      <x:c r="A177" t="inlineStr">
        <x:is>
          <x:t xml:space="preserve">RR-176</x:t>
        </x:is>
      </x:c>
      <x:c r="B177" t="inlineStr">
        <x:is>
          <x:t xml:space="preserve">CV-14</x:t>
        </x:is>
      </x:c>
      <x:c r="C177" t="inlineStr">
        <x:is>
          <x:t xml:space="preserve">degree: masters. experience level: senior-level. target role: nurse. skills: compassion, medical terminology, healthcare, first aid, cpr.</x:t>
        </x:is>
      </x:c>
      <x:c r="D177" t="inlineStr">
        <x:is>
          <x:t xml:space="preserve">Health Coach</x:t>
        </x:is>
      </x:c>
      <x:c r="E177" t="inlineStr">
        <x:is>
          <x:t xml:space="preserve">Sage Technologies is seeking a Health Coach to assist our members in finding new ways to inspire healthier habits. The position will work closely with our members in promoting wellness and helping individuals realize their personal best. Our Health Coach will be responsible for developing a wellness coaching relationship with members and assisting the member through the process of actively working towards better health by providing support, encouragement, and education. Primary Responsibilities: The Health Coach will be responsible for contacting participants that are eligible for the program for enrollment and provide necessary wellness coaching to reduce or eliminate high-risk behaviors. Encourages adoption of habits that are conducive to a higher quality of life. Responsible for supporting operational aspects of the division to meet the organization's customer requirements and satisfaction. Develop and conduct onsite health-related wellness seminars and training courses for interested members and family members Develop and assist data administrators distribute health education materials to identified employees and family members Develop customized care plan for individuals members and groups of members that are program participants including goals and plan of action Coordinate Care with case managers or other health-related vendors for optimal patient outcomes Performs Other Duties as Assigned Health Coaching Critical Success Factors Self-Confidence – A Health Coach can diplomatically express views that may be unpopular. Self-Control – A Health Coach is composed, positive, and focused under pressure Conscientiousness– A Health Coach is organized and always meets deadlines / commitments. Innovation – A Health Coach is open to new ideas, approaches and information. Achievement Drive – A Health Coach constantly strives to improve standards of excellence Commitment– A Health Coach makes sacrifices to meet goals and believes in core values Initiative – A Health Coach pursues goals beyond what’s required or expected of them Optimism – A Health Coach is persistent despite obstacles and expects success, not failure. Understanding – A Health Coach senses others feelings / perspectives, takes interest them. Service Orientation – A Health Coach anticipates, recognizes and meets customer needs. Influence – A Health Coach can effectively persuade others. Communication – A Health Coach deals with issues, listens and seeks mutual understanding. Conflict Management- A Health Coach is diplomatic, tactful and able to calm tense situations. Collaboration and Cooperation – A Health Coach is shares plans, information and resources</x:t>
        </x:is>
      </x:c>
      <x:c r="F177" t="inlineStr">
        <x:is>
          <x:t xml:space="preserve">Knowledge and Skill Requirements: Bachelor’s degree or higher in health promotion, health education, nursing, athletic training, nutrition, or other health related field or counseling. Knowledge of specific disease and lifestyle related topics such as smoking cessation, weight management, nutrition, stress reduction, and chronic conditions such as diabetes, cardiovascular disease, kidney disease, hypertension, obesity, asthma and other conditions. Ability to ensure completion of projects and assignments. Must have ability to work independently and meet deadlines. Computer skills including MS Word, Excel, Access, Outlook, etc. Highly skilled in verbal and written communication. Able to problem solve, exercise initiative and make decisions. Has the ability to work effectively with director, co-workers, management, physicians, members, providers and other external agencies. Bilingual experience a plus Knowledge on Diabetes or a diabetic educator a plus. Application Deadline: June 4, 2012</x:t>
        </x:is>
      </x:c>
      <x:c r="G177" t="inlineStr">
        <x:is>
          <x:t xml:space="preserve">ROCKFORD</x:t>
        </x:is>
      </x:c>
      <x:c r="H177" t="inlineStr">
        <x:is>
          <x:t xml:space="preserve">IL</x:t>
        </x:is>
      </x:c>
      <x:c r="I177" t="n">
        <x:v>1</x:v>
      </x:c>
      <x:c r="J177" t="str">
        <x:v>تقارب جزئي في المهارات العملية، ولكن يحتاج لمراجعة تفصيلية في المقابلة للتأكد من مدى ملاءمته لمهام Health Coach.</x:v>
      </x:c>
      <x:c r="K177" t="n">
        <x:v>1</x:v>
      </x:c>
      <x:c r="L177" t="str">
        <x:v>وجهة نظر ثانية: الملف يظهر بعض التقارب، لكني أرى ضرورة التأكد من المهارات التخصصية في المقابلة.</x:v>
      </x:c>
      <x:c r="M177" t="n">
        <x:v>1</x:v>
      </x:c>
      <x:c r="N177" t="n">
        <x:v>1</x:v>
      </x:c>
    </x:row>
    <x:row r="178">
      <x:c r="A178" t="inlineStr">
        <x:is>
          <x:t xml:space="preserve">RR-177</x:t>
        </x:is>
      </x:c>
      <x:c r="B178" t="inlineStr">
        <x:is>
          <x:t xml:space="preserve">CV-12</x:t>
        </x:is>
      </x:c>
      <x:c r="C178" t="inlineStr">
        <x:is>
          <x:t xml:space="preserve">degree: phd. experience level: senior-level. target role: personal trainer. skills: fitness, anatomy, injury prevention, nutrition, exercise planning.</x:t>
        </x:is>
      </x:c>
      <x:c r="D178" t="inlineStr">
        <x:is>
          <x:t xml:space="preserve">HR Generalist</x:t>
        </x:is>
      </x:c>
      <x:c r="E178" t="inlineStr">
        <x:is>
          <x:t xml:space="preserve">Our client, a privately held services company is seeking a Human Resource Generalist. This is a newly created position and the company is wanting to fill this role immediately. With national and international locations, this position is located in West Houston. Responsibilities of this position include but are not limited to the following: Coordinates with HR departmental personnel to provide assistance as requested with recruitment and selection of employees. Experience with various payroll, HRIS or other related systems Provides guidance to management and employees as needed. Monitors Employee Relations throughout assigned region for developing or actual trends, issues and problems, and assists local management with addressing issues. Organize and coordinate meetings, training sessions and luncheons. Assist in training of employees on all HR related policies. Initiate changes to the Human Resources Management System (HRMS) associated with various personnel events e.g. job or organization changes, salary action .</x:t>
        </x:is>
      </x:c>
      <x:c r="F178" t="inlineStr">
        <x:is>
          <x:t xml:space="preserve">Three years in Generalist position Four year degree in related field PHR preferred Excellent communication skills and proven team player</x:t>
        </x:is>
      </x:c>
      <x:c r="G178" t="inlineStr">
        <x:is>
          <x:t xml:space="preserve">HOUSTON</x:t>
        </x:is>
      </x:c>
      <x:c r="H178" t="inlineStr">
        <x:is>
          <x:t xml:space="preserve">TX</x:t>
        </x:is>
      </x:c>
      <x:c r="I178" t="n">
        <x:v>0</x:v>
      </x:c>
      <x:c r="J178" t="str">
        <x:v>عدم مطابقة: خبرات المرشح موجهة نحو personal trainer، وهي بعيدة عن متطلبات دور HR Generalist.</x:v>
      </x:c>
      <x:c r="K178" t="n">
        <x:v>0</x:v>
      </x:c>
      <x:c r="L178" t="str">
        <x:v>استبعاد: الفجوة كبيرة في المهارات بين التخصص المستهدف (personal trainer) والمسؤوليات المحددة لـ HR Generalist.</x:v>
      </x:c>
      <x:c r="M178" t="n">
        <x:v>0</x:v>
      </x:c>
      <x:c r="N178" t="n">
        <x:v>0</x:v>
      </x:c>
    </x:row>
    <x:row r="179">
      <x:c r="A179" t="inlineStr">
        <x:is>
          <x:t xml:space="preserve">RR-178</x:t>
        </x:is>
      </x:c>
      <x:c r="B179" t="inlineStr">
        <x:is>
          <x:t xml:space="preserve">CV-20</x:t>
        </x:is>
      </x:c>
      <x:c r="C179" t="inlineStr">
        <x:is>
          <x:t xml:space="preserve">degree: phd. experience level: mid-level. target role: ai researcher. skills: innovation, programming, research methodology, machine learning, deep learning.</x:t>
        </x:is>
      </x:c>
      <x:c r="D179" t="inlineStr">
        <x:is>
          <x:t xml:space="preserve">Medical Front Office</x:t>
        </x:is>
      </x:c>
      <x:c r="E179" t="inlineStr">
        <x:is>
          <x:t xml:space="preserve">Experienced Medical Front Office person for busy specialty practice.</x:t>
        </x:is>
      </x:c>
      <x:c r="F179" t="inlineStr">
        <x:is>
          <x:t xml:space="preserve">Minimum of 2 years working in a medical office setting as a front office reception/check-in. This candidate must possess excellent communication skills and enjoy working closely with others in a customer service environment. The ideal candidate must have experience verifying insurance, eligibility, patient check-out with collecting of coinsurance and co-pays, scheduling of appointments, computer and telephone etiquette skills. Experience with call-center inquiry tracking software such as SalesForce is helpful. English and Spanish fluency is preferred. Medical Assistant certification is preferred. We desire committed, hard-working employees that are able to see the whole picture and have a positive attitude for the fast paced environment. The ability to work effectively as a part of a team is mandatory.</x:t>
        </x:is>
      </x:c>
      <x:c r="G179" t="inlineStr">
        <x:is>
          <x:t xml:space="preserve">PHOENIX</x:t>
        </x:is>
      </x:c>
      <x:c r="H179" t="inlineStr">
        <x:is>
          <x:t xml:space="preserve">AZ</x:t>
        </x:is>
      </x:c>
      <x:c r="I179" t="n">
        <x:v>0</x:v>
      </x:c>
      <x:c r="J179" t="str">
        <x:v>المؤهلات في السيرة الذاتية تخص مجالات ai researcher فقط، ولا توجد خبرة سابقة في مسؤوليات Medical Front Office.</x:v>
      </x:c>
      <x:c r="K179" t="n">
        <x:v>0</x:v>
      </x:c>
      <x:c r="L179" t="str">
        <x:v>ملاحظة المراجع الثاني: بعد التدقيق، لا توجد خبرة عمل معتمدة تتناسب مع متطلبات وظيفة Medical Front Office.</x:v>
      </x:c>
      <x:c r="M179" t="n">
        <x:v>0</x:v>
      </x:c>
      <x:c r="N179" t="n">
        <x:v>0</x:v>
      </x:c>
    </x:row>
    <x:row r="180">
      <x:c r="A180" t="inlineStr">
        <x:is>
          <x:t xml:space="preserve">RR-179</x:t>
        </x:is>
      </x:c>
      <x:c r="B180" t="inlineStr">
        <x:is>
          <x:t xml:space="preserve">CV-30</x:t>
        </x:is>
      </x:c>
      <x:c r="C180" t="inlineStr">
        <x:is>
          <x:t xml:space="preserve">degree: masters. experience level: senior-level. target role: pilot. skills: navigation, air traffic control, risk management, emergency response, weather analysis.</x:t>
        </x:is>
      </x:c>
      <x:c r="D180" t="inlineStr">
        <x:is>
          <x:t xml:space="preserve">Field Resource Coordinator / Dispatcher</x:t>
        </x:is>
      </x:c>
      <x:c r="E180" t="inlineStr">
        <x:is>
          <x:t xml:space="preserve">We are seeking a highly detailed oriented candidate with excellent written and verbal communication. Are you an enthusiastic and hardworking individual with a great attitude? The Field Resource Coordinator receives, records, and distributes customer appointments to technician resources locally and/or nationally, upon customers' requests for service. Distributing new installations and service calls to Field Technicians based on customer needs and availability. Communicating with Field Technicians regarding installations and trouble calls. Communicating with customers for reschedules or resolving any issue relating to installations and service calls. Providing resource planning to ensure Field Technicians meet customer needs. Other duties as required.</x:t>
        </x:is>
      </x:c>
      <x:c r="F180" t="inlineStr">
        <x:is>
          <x:t xml:space="preserve">Requires a high school degree or GED equivalent Two (2) years of Dispatch experience is preferred Intermediate level computer skills Excellent interpersonal and organizational skills Must be self-directed and able to multi-task Ability to stay focused on the job at hand Ability to deal effectively with all employees and external business contacts while conveying a positive, service oriented attitude. Ability to communicate effectively, both verbally and in writing. Ability to maintain complete confidentiality and discretion in business relationships and exercise sound business judgment. Compensation A competitive base salary Paid Training Company subsidized Medical &amp; Dental benefits Paid Time Off A company sponsored 401(k) retirement plan Gym membership reimbursement Dynamic, Fast paced, challenging, and fun work environment Growth Opportunities Team Lead Dispatch Supervisor Dispatch Manager Clearcall Solutions is committed to providing equal employment opportunities for all applicants and associates. The Company does not unlawfully discriminate on the basis of race, color, creed, pregnancy, religion, sex, national origin, age, disability, veteran, marital, or any other protected status. The Company also makes reasonable accommodations for disabled employees. Finally, the Company prohibits the harassment of any individual based on their protected status. This policy applies to all areas of employment, including recruitment, hiring, training, promotion, compensation, benefits, transfer, and social and recreational programs.</x:t>
        </x:is>
      </x:c>
      <x:c r="G180" t="inlineStr">
        <x:is>
          <x:t xml:space="preserve">GILBERT</x:t>
        </x:is>
      </x:c>
      <x:c r="H180" t="inlineStr">
        <x:is>
          <x:t xml:space="preserve">AZ</x:t>
        </x:is>
      </x:c>
      <x:c r="I180" t="n">
        <x:v>0</x:v>
      </x:c>
      <x:c r="J180" t="str">
        <x:v>المرشح غير مناسب لشاغر Field Resource Coordinator / Dispatcher؛ توجهه المهني والمهارات المذكورة تنحصر في تخصص pilot.</x:v>
      </x:c>
      <x:c r="K180" t="n">
        <x:v>0</x:v>
      </x:c>
      <x:c r="L180" t="str">
        <x:v>تقييم مستقل: المرشح مركز تماماً على مجال pilot وهو بعيد عن النطاق التشغيلي لدور Field Resource Coordinator / Dispatcher.</x:v>
      </x:c>
      <x:c r="M180" t="n">
        <x:v>0</x:v>
      </x:c>
      <x:c r="N180" t="n">
        <x:v>0</x:v>
      </x:c>
    </x:row>
    <x:row r="181">
      <x:c r="A181" t="inlineStr">
        <x:is>
          <x:t xml:space="preserve">RR-180</x:t>
        </x:is>
      </x:c>
      <x:c r="B181" t="inlineStr">
        <x:is>
          <x:t xml:space="preserve">CV-03</x:t>
        </x:is>
      </x:c>
      <x:c r="C181" t="inlineStr">
        <x:is>
          <x:t xml:space="preserve">degree: phd. experience level: senior-level. target role: financial analyst. skills: forecasting, financial modelling, excel, budgeting, market research.</x:t>
        </x:is>
      </x:c>
      <x:c r="D181" t="inlineStr">
        <x:is>
          <x:t xml:space="preserve">Financial Analyst</x:t>
        </x:is>
      </x:c>
      <x:c r="E181" t="inlineStr">
        <x:is>
          <x:t xml:space="preserve">Essential Duties and Responsibilities: The Real Estate Financial Analyst will: Assist the development officers' preparation of financial analyses during the investigative stage Create and review the development proforma to maximize returns and accuracy Assist the assigned Development Officer or Vice-President of Development in managing the overall development process relating to each new development including, but not limited to, the following: Site Screening Process Preparation of preliminary market comparison analysis Coordination of the professional and design consultants contracts Preparation of Vacant land analysis Coordinating the completion of the market report Coordinating and participating in the detailed governmental code and permitting review process Coordinating the evaluation of all physical aspects of the site as outlined below: Architectural/Topographical Survey including flood plain and natural features Title review Phase I/II Environmental/Hazardous Material Evaluation Geotechnical Report Wetland/Woodlands Evaluation Historical/Archaeological Evaluation Endangered Species Evaluation Aerial Photographs Civil Engineering Analysis Water Flow and Pressure Testing Roadway Accessibility Review Storm Drainage Requirements Utility Availability Provide support in the preparation of the Operating Budget Provide support in the preparation of construction cost estimate Prepare and update the Development Schedule Assist in the preparation of the Proforma Assist the Vice President of Development in the preparation of the Due Diligence Report Assist the Vice President of Development in monitoring the progress of the design consultants Coordinate technical requirements relative to the Land Use Approval process Assist in the preparation of the financing package Provide support during the construction loan closing Coordinate preparation of the collateral material Coordinate color/finish selections with Chairman/Interior Designers Coordinate design/installation of the Pre-leasing office Monitor shop drawing submittal approval process and maintenance of project files Attend weekly project meetings Assist in coordinating project closeout with construction Project Manager</x:t>
        </x:is>
      </x:c>
      <x:c r="F181" t="inlineStr">
        <x:is>
          <x:t xml:space="preserve">1. Education Minimum Bachelor’s Degree, MBA desirable. The position requires the ability to read, write and communicate fluently in English, and the ability to accurately perform intermediate to advanced mathematical functions. 2. Experience Minimum two years experience in a related field or 3-4 years experience in an equivalent area, and experience working with Microsoft Word, Microsoft Excel (advanced level), and Microsoft Outlook required. 3. Skills v Detail oriented. v Self-motivated and quick thinking. v Strong Interpersonal Skills. v Strong organization and time management skills and the ability to prioritize work load. v Strong oral and written communications skills. v The ability to create financial spreadsheets. v The ability to analyze and interpret financial data. v The ability to be diplomatic and tactful in relationships with a variety of internal and external associates, clients, and customers. v v The ability to maintain confidentiality of sensitive information. v The ability to consistently produce accurate and timely work. v A professional appearance and demeanor. v The flexibility to meet required deadlines with short notice 4. Licenses A valid driver’s license and current automobile insurance.</x:t>
        </x:is>
      </x:c>
      <x:c r="G181" t="inlineStr">
        <x:is>
          <x:t xml:space="preserve">BOCA RATON</x:t>
        </x:is>
      </x:c>
      <x:c r="H181" t="inlineStr">
        <x:is>
          <x:t xml:space="preserve">FL</x:t>
        </x:is>
      </x:c>
      <x:c r="I181" t="n">
        <x:v>2</x:v>
      </x:c>
      <x:c r="J181" t="str">
        <x:v>مرشح قوي وجاهز للقيام بمهام Financial Analyst بناءً على الخلفية المهنية المعروضة.</x:v>
      </x:c>
      <x:c r="K181" t="n">
        <x:v>2</x:v>
      </x:c>
      <x:c r="L181" t="str">
        <x:v>مرشح قوي: المطابقة عالية ومباشرة لجميع المسؤوليات اليومية المطلوبة.</x:v>
      </x:c>
      <x:c r="M181" t="n">
        <x:v>2</x:v>
      </x:c>
      <x:c r="N181" t="n">
        <x:v>2</x:v>
      </x:c>
    </x:row>
    <x:row r="182">
      <x:c r="A182" t="inlineStr">
        <x:is>
          <x:t xml:space="preserve">RR-181</x:t>
        </x:is>
      </x:c>
      <x:c r="B182" t="inlineStr">
        <x:is>
          <x:t xml:space="preserve">CV-11</x:t>
        </x:is>
      </x:c>
      <x:c r="C182" t="inlineStr">
        <x:is>
          <x:t xml:space="preserve">degree: masters. experience level: senior-level. target role: machine learning engineer. skills: python, data science, data analysis, statistics, deep learning.</x:t>
        </x:is>
      </x:c>
      <x:c r="D182" t="inlineStr">
        <x:is>
          <x:t xml:space="preserve">Energy Data Analyst &amp; Programmer</x:t>
        </x:is>
      </x:c>
      <x:c r="E182" t="inlineStr">
        <x:is>
          <x:t xml:space="preserve">Energy Data Analyst &amp; Programmer Job Description Opinion Dynamics, a market leader committed to providing cutting-edge strategic research, evaluation, and consulting services, seeks an Energy Data Analyst &amp; Programmer to work with our energy research and consulting team in Oakland, CA. We're looking for a highly proactive, energetic professional who will thrive in preparing for, and delivering, cutting-edge energy usage and savings analysis to our clients. The Energy Data Analyst &amp; Programmer will work with Opinion Dynamics' current electric and gas utility clients throughout the country. Our work includes evaluative and predictive modeling of a variety of energy efficiency behaviors and programs, including commercial and residential efficiency programs, demand side management programs, and educational/behavioral programs. This position is a blend of data management and analysis. It offers many opportunities to use your analytical and communication skills to establish and maintain flexible, high-quality databases, as well as opportunities to apply cutting-edge energy evaluation techniques to understand customer energy consumption and savings. The ideal candidate will find ways to streamline data management and QA/QC processes, with an eye for enabling descriptive, statistical and engineering-based analysis. Key Data Management Responsibilities: Clean and prepare energy usage data, primary research, customer information and billing data for statistical and engineering-based analysis Integrate large datasets of energy usage data, primary research, customer information and billing data – including validating multiple data sources that may gave conflicting information Consult with energy research and engineering staff to understand data processes that need to be established and automated to meet multiple analysis needs Establish and maintain energy, customer and primary research data management processes Identify, troubleshoot, and resolve data quality issues Identify and execute QA/QC processes as needed (including training or delegating other staff to help with QA/QC) Write and maintain documentation to describe data management processes, logic, coding, QA/QC and corrections Key Analysis Responsibilities: Develop in-depth understanding of energy data in context of customer and site characteristics, through collaboration with engineering team and energy research team Conduct energy efficiency analyses of building and facility systems using appropriate analytical tools Extrapolate within-sample findings to broader participant or customer population Prepare written reports clearly describing data cleaning &amp; analysis methods and results For the ideal candidate, there is potential to apply data mining and statistical analysis experience to sophisticated energy data analysis. Specific tasks could include: Designing or implementing models that help identify baseline consumption, savings or savings potential (using regression or other data mining and modeling techniques) Defining processes and criteria for identifying or selecting comparison or control groups Required Qualifications Candidates must possess strong analytical skills, customer service, written and verbal communication and the ability to continually and effectively manage multiple concurrent priorities. Candidates will also possess: BA/BS degree in Engineering, Economics, Statistics, Computer Science, Operations Research, or another analytical field Professional experience in either (a) market research, including primary data collection and analysis, or (b) energy efficiency, environmental consulting, engineering or building energy use Tireless attention to detail An inquisitive approach to data management and analysis Demonstrated experience managing, cleaning, and preparing large datasets Demonstrated skills in statistical analysis, including a working knowledge of statistical tools (R, Stata, SAS, SPSS, etc.) Strong written and verbal communication stills Ability to continually and effectively manage concurrent priorities Desired Qualifications Ideally, candidates will also possess: Master’s degree Experience with some or all of the following tasks: Energy modeling, monitoring and verification, data logging, statistical analysis, analysis of electrical meter data, building systems simulation/modeling Professional experience developing and/or automating data management processes, codes and documentation Skills in multiple programming languages, methods, and techniques Knowledge and experience with cross-disciplinary or non-traditional data mining techniques Beyond these qualifications, we’re looking for someone with the desire to keeping learning about energy efficiency and gain expertise in the evaluation field. Opinion Dynamics offers competitive salaries along with a matching 401k plan. To be considered for this position, please send cover letter, resume, and any salary requirements to: Careers: Energy Data Analyst &amp; Programmer Opinion Dynamics Corporation 230 Third Avenue Waltham, MA 02451 Careers@opiniondynamics.com No phone calls, please. Only those resumes accompanied by a cover letter will be considered.</x:t>
        </x:is>
      </x:c>
      <x:c r="F182" t="inlineStr">
        <x:is>
          <x:t xml:space="preserve">Candidates must possess strong analytical skills, customer service, written and verbal communication and the ability to continually and effectively manage multiple concurrent priorities. Candidates will also possess: BA/BS degree in Engineering, Economics, Statistics, Computer Science, Operations Research, or another analytical field Professional experience in either (a) market research, including primary data collection and analysis, or (b) energy efficiency, environmental consulting, engineering or building energy use Tireless attention to detail An inquisitive approach to data management and analysis Demonstrated experience managing, cleaning, and preparing large datasets Demonstrated skills in statistical analysis, including a working knowledge of statistical tools (R, Stata, SAS, SPSS, etc.) Strong written and verbal communication stills Ability to continually and effectively manage concurrent priorities</x:t>
        </x:is>
      </x:c>
      <x:c r="G182" t="inlineStr">
        <x:is>
          <x:t xml:space="preserve">OAKLAND</x:t>
        </x:is>
      </x:c>
      <x:c r="H182" t="inlineStr">
        <x:is>
          <x:t xml:space="preserve">CA</x:t>
        </x:is>
      </x:c>
      <x:c r="I182" t="n">
        <x:v>1</x:v>
      </x:c>
      <x:c r="J182" t="str">
        <x:v>توجد مهارات إدارية وتنظيمية مشتركة مع دور Energy Data Analyst &amp; Programmer، لكن المرشح ينقصه التخصص المباشر والخبرة الفنية الدقيقة.</x:v>
      </x:c>
      <x:c r="K182" t="n">
        <x:v>1</x:v>
      </x:c>
      <x:c r="L182" t="str">
        <x:v>تقييم مستقل: توجد مهارات عامة يمكن الاستفادة منها، ولكن التأهيل غير مكتمل لوظيفة Energy Data Analyst &amp; Programmer.</x:v>
      </x:c>
      <x:c r="M182" t="n">
        <x:v>1</x:v>
      </x:c>
      <x:c r="N182" t="n">
        <x:v>1</x:v>
      </x:c>
    </x:row>
    <x:row r="183">
      <x:c r="A183" t="inlineStr">
        <x:is>
          <x:t xml:space="preserve">RR-182</x:t>
        </x:is>
      </x:c>
      <x:c r="B183" t="inlineStr">
        <x:is>
          <x:t xml:space="preserve">CV-17</x:t>
        </x:is>
      </x:c>
      <x:c r="C183" t="inlineStr">
        <x:is>
          <x:t xml:space="preserve">degree: bachelors. experience level: senior-level. target role: content writer. skills: research, creative writing, blogging, editing, communication.</x:t>
        </x:is>
      </x:c>
      <x:c r="D183" t="inlineStr">
        <x:is>
          <x:t xml:space="preserve">Administrative Coordinator</x:t>
        </x:is>
      </x:c>
      <x:c r="E183" t="inlineStr">
        <x:is>
          <x:t xml:space="preserve">Our client is a medical education and communications company that provides world-class educational programs to healthcare professionals and supporters. Regarded as one of the leading medical education providers in the US, they have built a reputation based on excellent educational programs that are innovative, timely, scientifically sound, and free of commercial bias. We have partnered with them in their search for an Administrative Coordinator that will plan, organize, and oversee promotional events, conferences, and professional development programs. Ideal candidates should possess a proven track record of taking initiative and a commitment to uncompromising client service. Some Responsibilities Include: Organizes meetings including attendees, clients, and materials. Must be able to multi-task several projects at once. Communicates with clients, attendees, and team members through all phases of project to ensure client satisfaction. Acts as primary contact point with sales reps, area district managers, and physician thought leaders. Organizes required catering services, venue logistics, and communication equipment setup. Recruits speakers. Organizes speakers’ travel arrangements (car, flight, and hotel). Maintains accurate records in an internal database. May manage onsite staffing. Resolves or follows up with onsite emergencies. Ensures all payments are correct and properly processed. Must be able to maintain proper financial records of each event and perform accurate reconciliations. Coordinates program reconciliation and post-meeting materials. May assist with onsite speaker training meetings. May distribute invitations and track RSVPs.</x:t>
        </x:is>
      </x:c>
      <x:c r="F183" t="inlineStr">
        <x:is>
          <x:t xml:space="preserve">Bachelor’s degree from a four-year College or university is a MUST 1-2 years of administrative support experience Excellent written and verbal communication skills Ability to learn AMA, FDA, and PhRMA policies and guidelines and explain them to others Strong Microsoft Office Skills (Word, Excel, Outlook, and PowerPoint) Prior experience coordinating events is a big plus</x:t>
        </x:is>
      </x:c>
      <x:c r="G183" t="inlineStr">
        <x:is>
          <x:t xml:space="preserve">ATLANTA</x:t>
        </x:is>
      </x:c>
      <x:c r="H183" t="inlineStr">
        <x:is>
          <x:t xml:space="preserve">GA</x:t>
        </x:is>
      </x:c>
      <x:c r="I183" t="n">
        <x:v>0</x:v>
      </x:c>
      <x:c r="J183" t="str">
        <x:v>عدم مطابقة: خبرات المرشح موجهة نحو content writer، وهي بعيدة عن متطلبات دور Administrative Coordinator.</x:v>
      </x:c>
      <x:c r="K183" t="n">
        <x:v>0</x:v>
      </x:c>
      <x:c r="L183" t="str">
        <x:v>تقييم مستقل: المرشح مركز تماماً على مجال content writer وهو بعيد عن النطاق التشغيلي لدور Administrative Coordinator.</x:v>
      </x:c>
      <x:c r="M183" t="n">
        <x:v>0</x:v>
      </x:c>
      <x:c r="N183" t="n">
        <x:v>0</x:v>
      </x:c>
    </x:row>
    <x:row r="184">
      <x:c r="A184" t="inlineStr">
        <x:is>
          <x:t xml:space="preserve">RR-183</x:t>
        </x:is>
      </x:c>
      <x:c r="B184" t="inlineStr">
        <x:is>
          <x:t xml:space="preserve">CV-03</x:t>
        </x:is>
      </x:c>
      <x:c r="C184" t="inlineStr">
        <x:is>
          <x:t xml:space="preserve">degree: phd. experience level: senior-level. target role: financial analyst. skills: forecasting, financial modelling, excel, budgeting, market research.</x:t>
        </x:is>
      </x:c>
      <x:c r="D184" t="inlineStr">
        <x:is>
          <x:t xml:space="preserve">Financial analyst</x:t>
        </x:is>
      </x:c>
      <x:c r="E184" t="inlineStr">
        <x:is>
          <x:t xml:space="preserve">Description We are currently seeking a Sr. Pricing Analyst in our Miami facility. The Senior Pricing Analyst will work across the lines of business in conjunction with Marketing to coordinate and develop price recommendations for existing product lines and new product introductions. This role will be responsible for establishing effective metrics and reporting to drive more margin through pricing and financial anaysis . Key responsibilities include, but are not limited to: Review of discounting structures and rebate programs. Perform post-mortem of launched platforms to identify pricing deviations from original business case proposals. Monitor and validate performance to annual pricing goals identifying areas of risks and opportunities Perform analysis linking pricing activities to financial results. Attend the Monthly HLS Pricing Review meetings. Be prepared to present key findings and observations of pricing activities from a financial view during these meeting.</x:t>
        </x:is>
      </x:c>
      <x:c r="F184" t="inlineStr">
        <x:is>
          <x:t xml:space="preserve">Qualifications Basic Qualifications: Bachelors Degree in Accounting, Finance or Marketing. 4 years of pricing experience, with a combination of accounting and financial analysis in increasingly responsible roles. Additional Qualifications: MBA a plus. Process oriented with strong problem solving skills. Strong technical and analytical skills. Ability to create and utilize financial models to evaluate investment and pricing options. Ability to work effectively in a fast paced environment and to meet tight deadlines. Ability to effectively communicate and interact across functional groups and with different levels of the organization. Ability to develop effective working relationships through teamwork and influencing skills. Strong written and verbal communication skills. Education Level : Bachelor's Degree</x:t>
        </x:is>
      </x:c>
      <x:c r="G184" t="inlineStr">
        <x:is>
          <x:t xml:space="preserve">MIAMI</x:t>
        </x:is>
      </x:c>
      <x:c r="H184" t="inlineStr">
        <x:is>
          <x:t xml:space="preserve">FL</x:t>
        </x:is>
      </x:c>
      <x:c r="I184" t="n">
        <x:v>2</x:v>
      </x:c>
      <x:c r="J184" t="str">
        <x:v>خبرات المرشح كـ financial analyst والمهارات المذكورة تغطي كافة الجوانب الأساسية المطلوبة لدور Financial analyst.</x:v>
      </x:c>
      <x:c r="K184" t="n">
        <x:v>1</x:v>
      </x:c>
      <x:c r="L184" t="str">
        <x:v>قبول مشروط: الخلفية المهنية قريبة نسبياً لـ Financial analyst، لكن يحتاج لتدريب على المهام الأساسية.</x:v>
      </x:c>
      <x:c r="M184" t="n">
        <x:v>2</x:v>
      </x:c>
      <x:c r="N184" t="n">
        <x:v>2</x:v>
      </x:c>
    </x:row>
    <x:row r="185">
      <x:c r="A185" t="inlineStr">
        <x:is>
          <x:t xml:space="preserve">RR-184</x:t>
        </x:is>
      </x:c>
      <x:c r="B185" t="inlineStr">
        <x:is>
          <x:t xml:space="preserve">CV-15</x:t>
        </x:is>
      </x:c>
      <x:c r="C185" t="inlineStr">
        <x:is>
          <x:t xml:space="preserve">degree: masters. experience level: mid-level. target role: systems analyst. skills: data analysis, systems integration, project management, sql, business process modeling.</x:t>
        </x:is>
      </x:c>
      <x:c r="D185" t="inlineStr">
        <x:is>
          <x:t xml:space="preserve">Junior Analyst/ Operation Specialist</x:t>
        </x:is>
      </x:c>
      <x:c r="E185" t="inlineStr">
        <x:is>
          <x:t xml:space="preserve">Major financial service company is looking for a operation specialist to work in the back office to due research, reconciliation, statistical analysis and income processing work. This is a temporary to permanent position. To qualify you must be a recent college graduate with a finance degree and Internship experience within a financial services company . Excellent computer skills Excel and Access</x:t>
        </x:is>
      </x:c>
      <x:c r="F185" t="inlineStr">
        <x:is>
          <x:t xml:space="preserve">BS degree in finance. Internship experience in financial services company. Excellent computer skills Excel and Access. Income processing and strong analytical skills.</x:t>
        </x:is>
      </x:c>
      <x:c r="G185" t="inlineStr">
        <x:is>
          <x:t xml:space="preserve">NEW YORK</x:t>
        </x:is>
      </x:c>
      <x:c r="H185" t="inlineStr">
        <x:is>
          <x:t xml:space="preserve">NY</x:t>
        </x:is>
      </x:c>
      <x:c r="I185" t="n">
        <x:v>0</x:v>
      </x:c>
      <x:c r="J185" t="str">
        <x:v>المرشح غير مناسب لشاغر Junior Analyst/ Operation Specialist؛ توجهه المهني والمهارات المذكورة تنحصر في تخصص systems analyst.</x:v>
      </x:c>
      <x:c r="K185" t="n">
        <x:v>1</x:v>
      </x:c>
      <x:c r="L185" t="str">
        <x:v>تقييم مستقل: توجد مهارات عامة يمكن الاستفادة منها، ولكن التأهيل غير مكتمل لوظيفة Junior Analyst/ Operation Specialist.</x:v>
      </x:c>
      <x:c r="M185" t="n">
        <x:v>0</x:v>
      </x:c>
      <x:c r="N185" t="n">
        <x:v>0</x:v>
      </x:c>
    </x:row>
    <x:row r="186">
      <x:c r="A186" t="inlineStr">
        <x:is>
          <x:t xml:space="preserve">RR-185</x:t>
        </x:is>
      </x:c>
      <x:c r="B186" t="inlineStr">
        <x:is>
          <x:t xml:space="preserve">CV-30</x:t>
        </x:is>
      </x:c>
      <x:c r="C186" t="inlineStr">
        <x:is>
          <x:t xml:space="preserve">degree: masters. experience level: senior-level. target role: pilot. skills: navigation, air traffic control, risk management, emergency response, weather analysis.</x:t>
        </x:is>
      </x:c>
      <x:c r="D186" t="inlineStr">
        <x:is>
          <x:t xml:space="preserve">Medical Assistant (MA)</x:t>
        </x:is>
      </x:c>
      <x:c r="E186" t="inlineStr">
        <x:is>
          <x:t xml:space="preserve">MEDICAL ASSISTANTS- Full time and part-time position available. Professional and motivated M.A.s needed for busy infertility center with locations in Central Phoenix and Chandler.</x:t>
        </x:is>
      </x:c>
      <x:c r="F186" t="inlineStr">
        <x:is>
          <x:t xml:space="preserve">Must be a graduate of an accredited M.A. program with good phlebotomy and patient care skills. Infertility experience is a plus but willing to train the right candidate. Bilingual Spanish a plus. Competitive pay and benefits. If you would like to become part of a growing practice please apply with a copy of your resume. Fax (602) 343-2766 attention Kate or click Apply Now to email a resume.</x:t>
        </x:is>
      </x:c>
      <x:c r="G186" t="inlineStr">
        <x:is>
          <x:t xml:space="preserve">PHOENIX</x:t>
        </x:is>
      </x:c>
      <x:c r="H186" t="inlineStr">
        <x:is>
          <x:t xml:space="preserve">AZ</x:t>
        </x:is>
      </x:c>
      <x:c r="I186" t="n">
        <x:v>0</x:v>
      </x:c>
      <x:c r="J186" t="str">
        <x:v>لا يوجد أي تقاطع مهني بين دور Medical Assistant (MA) المطلوبة والاهتمام المهني للمرشح كـ pilot.</x:v>
      </x:c>
      <x:c r="K186" t="n">
        <x:v>0</x:v>
      </x:c>
      <x:c r="L186" t="str">
        <x:v>تقييم مستقل: المرشح مركز تماماً على مجال pilot وهو بعيد عن النطاق التشغيلي لدور Medical Assistant (MA).</x:v>
      </x:c>
      <x:c r="M186" t="n">
        <x:v>0</x:v>
      </x:c>
      <x:c r="N186" t="n">
        <x:v>0</x:v>
      </x:c>
    </x:row>
    <x:row r="187">
      <x:c r="A187" t="inlineStr">
        <x:is>
          <x:t xml:space="preserve">RR-186</x:t>
        </x:is>
      </x:c>
      <x:c r="B187" t="inlineStr">
        <x:is>
          <x:t xml:space="preserve">CV-16</x:t>
        </x:is>
      </x:c>
      <x:c r="C187" t="inlineStr">
        <x:is>
          <x:t xml:space="preserve">degree: masters. experience level: senior-level. target role: product manager. skills: leadership, product development, cross-functional collaboration, agile, team coordination.</x:t>
        </x:is>
      </x:c>
      <x:c r="D187" t="inlineStr">
        <x:is>
          <x:t xml:space="preserve">Quality Manager (Product Testing/Project Management)</x:t>
        </x:is>
      </x:c>
      <x:c r="E187" t="inlineStr">
        <x:is>
          <x:t xml:space="preserve">Our client has an immediate need for a Product Testing Coordinator for its facility in Bellevue, Wa. LOCAL CANDIDATES ONLY. Rate/Salary: DOE Terms: Temp-to-Hire Salary: to $60K/year Must be able to interview next week and start on April 23rd. Testing experience in a lab or manufacturing environment is a must. Knowledge of Project Coordination required. ESSENTIAL DUTIES AND RESPONSIBILITIES include the following. Other duties may be assigned as client requirements and scope adjusts. Position will be analyzed on an ongoing basis. Manage client risk by developing product knowledge and understanding product history; synthesizing the information in to a recommended action plan for product(s) through product life cycle. • Manage the execution of risk mitigation plans ensuring timely and accurate delivery of investigations and assessments. Understand category business direction/need and support buying decisions by acting as the technical expert for business needs. Build intimate knowledge of products and manufacturing processes to ensure the accurate writing of product test documents to add to the knowledge base of the retail buying team. Interpret technical reports to make recommendations to the client based on quality requirements. Educate and assist vendors to navigate through the quality requirements and processes. Facilitate corrective action plan development and implementation on behalf of client requirements; work with vendors to ensure that good practices are used to develop and implement corrective actions. Consult on disposition issues (recalls, complaint investigations, returns analysis, vendor improvement, etc.). Recognize and escalate process issues within the client’s practice that can be improved. Work with and coordinate with overseas counterparts in both labs and consulting teams to create a seamless delivery of quality management, addressing the pertinent quality issues for all client operations. EDUCATION and/or EXPERIENCE Four year college or university program certificate; two years related experience; or equivalent combination of education and experience. Must be technically qualified with knowledge of testing standards and procedures, product specification protocols and product development. LANGUAGE SKILLS Ability to read, analyze, and interpret common scientific and technical journals, financial reports, and legal documents. Ability to respond to common inquiries or complaints from customers, regulatory agencies, or members of the business community. Ability to write speeches and articles for publication that conform to prescribed style and format. Ability to effectively present information to top management, public groups, and/or boards of directors. TRAVEL REQUIREMENTS Mostly regional OTHER SKILLS AND ABILITIES General computer knowledge, internet use, project management, research skills Good proficiency in MS Word and Excel Understanding of other Microsoft Office products (PowerPoint, Visio, etc) or similar. Please email resume to Mike.Leeson@AdeccoNA.com . Please include “Quality Manager” in the Subject Line</x:t>
        </x:is>
      </x:c>
      <x:c r="F187" t="inlineStr">
        <x:is>
          <x:t xml:space="preserve"/>
        </x:is>
      </x:c>
      <x:c r="G187" t="inlineStr">
        <x:is>
          <x:t xml:space="preserve">BELLEVUE</x:t>
        </x:is>
      </x:c>
      <x:c r="H187" t="inlineStr">
        <x:is>
          <x:t xml:space="preserve">WA</x:t>
        </x:is>
      </x:c>
      <x:c r="I187" t="n">
        <x:v>1</x:v>
      </x:c>
      <x:c r="J187" t="str">
        <x:v>الخلفية المهنية قريبة نسبياً وتدعم بعض جوانب العمل في Quality Manager (Product Testing/Project Management)، إلا أن بعض المتطلبات تحتاج تدريب إضافي.</x:v>
      </x:c>
      <x:c r="K187" t="n">
        <x:v>1</x:v>
      </x:c>
      <x:c r="L187" t="str">
        <x:v>قبول مشروط: الخلفية المهنية قريبة نسبياً لـ Quality Manager (Product Testing/Project Management)، لكن يحتاج لتدريب على المهام الأساسية.</x:v>
      </x:c>
      <x:c r="M187" t="n">
        <x:v>1</x:v>
      </x:c>
      <x:c r="N187" t="n">
        <x:v>1</x:v>
      </x:c>
    </x:row>
  </x:sheetData>
  <x:pageMargins left="0.7" right="0.7" top="0.75" bottom="0.75" header="0.3" footer="0.3"/>
</x:worksheet>
</file>

<file path=xl/worksheets/sheet4.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53" hidden="0" customWidth="1"/>
    <x:col min="2" max="2" width="18" hidden="0" customWidth="1"/>
    <x:col min="3" max="3" width="18" hidden="0" customWidth="1"/>
    <x:col min="4" max="4" width="18" hidden="0" customWidth="1"/>
    <x:col min="5" max="5" width="18" hidden="0" customWidth="1"/>
  </x:cols>
  <x:sheetData>
    <x:row r="1" ht="30" customHeight="1">
      <x:c r="A1" s="11" t="str">
        <x:v>Pre-adjudication reviewer agreement</x:v>
      </x:c>
      <x:c r="B1" s="11"/>
      <x:c r="C1" s="11"/>
      <x:c r="D1" s="11"/>
      <x:c r="E1" s="11"/>
    </x:row>
    <x:row r="3">
      <x:c r="A3" s="15" t="str">
        <x:v>Reviewer 1 / Reviewer 2</x:v>
      </x:c>
      <x:c r="B3" s="15" t="str">
        <x:v>R2: 0</x:v>
      </x:c>
      <x:c r="C3" s="15" t="str">
        <x:v>R2: 1</x:v>
      </x:c>
      <x:c r="D3" s="15" t="str">
        <x:v>R2: 2</x:v>
      </x:c>
      <x:c r="E3" s="15" t="str">
        <x:v>R1 total</x:v>
      </x:c>
    </x:row>
    <x:row r="4">
      <x:c r="A4" t="str">
        <x:v>R1: 0</x:v>
      </x:c>
      <x:c r="B4" t="n">
        <x:v>86</x:v>
      </x:c>
      <x:c r="C4" t="n">
        <x:v>14</x:v>
      </x:c>
      <x:c r="D4" t="n">
        <x:v>0</x:v>
      </x:c>
      <x:c r="E4" t="n">
        <x:f>SUM(B4:D4)</x:f>
        <x:v>100</x:v>
      </x:c>
    </x:row>
    <x:row r="5">
      <x:c r="A5" t="str">
        <x:v>R1: 1</x:v>
      </x:c>
      <x:c r="B5" t="n">
        <x:v>5</x:v>
      </x:c>
      <x:c r="C5" t="n">
        <x:v>45</x:v>
      </x:c>
      <x:c r="D5" t="n">
        <x:v>4</x:v>
      </x:c>
      <x:c r="E5" t="n">
        <x:f>SUM(B5:D5)</x:f>
        <x:v>54</x:v>
      </x:c>
    </x:row>
    <x:row r="6">
      <x:c r="A6" t="str">
        <x:v>R1: 2</x:v>
      </x:c>
      <x:c r="B6" t="n">
        <x:v>0</x:v>
      </x:c>
      <x:c r="C6" t="n">
        <x:v>3</x:v>
      </x:c>
      <x:c r="D6" t="n">
        <x:v>29</x:v>
      </x:c>
      <x:c r="E6" t="n">
        <x:f>SUM(B6:D6)</x:f>
        <x:v>32</x:v>
      </x:c>
    </x:row>
    <x:row r="7">
      <x:c r="A7" s="17" t="str">
        <x:v>R2 total</x:v>
      </x:c>
      <x:c r="B7" s="17" t="n">
        <x:f>SUM(B4:B6)</x:f>
        <x:v>91</x:v>
      </x:c>
      <x:c r="C7" s="17" t="n">
        <x:f>SUM(C4:C6)</x:f>
        <x:v>62</x:v>
      </x:c>
      <x:c r="D7" s="17" t="n">
        <x:f>SUM(D4:D6)</x:f>
        <x:v>33</x:v>
      </x:c>
      <x:c r="E7" s="17" t="n">
        <x:f>SUM(E4:E6)</x:f>
        <x:v>186</x:v>
      </x:c>
    </x:row>
    <x:row r="9">
      <x:c r="A9" s="15" t="str">
        <x:v>Metric</x:v>
      </x:c>
      <x:c r="B9" s="15" t="str">
        <x:v>Value</x:v>
      </x:c>
    </x:row>
    <x:row r="10">
      <x:c r="A10" t="str">
        <x:v>Observed agreement</x:v>
      </x:c>
      <x:c r="B10" s="21" t="n">
        <x:f>(B4+C5+D6)/E7</x:f>
        <x:v>0.8602150537634409</x:v>
      </x:c>
    </x:row>
    <x:row r="11">
      <x:c r="A11" t="str">
        <x:v>Chance agreement</x:v>
      </x:c>
      <x:c r="B11" s="19" t="n">
        <x:f>(E4*B7+E5*C7+E6*D7)/(E7^2)</x:f>
        <x:v>0.3903341426754538</x:v>
      </x:c>
    </x:row>
    <x:row r="12">
      <x:c r="A12" t="str">
        <x:v>Cohen's kappa</x:v>
      </x:c>
      <x:c r="B12" s="19" t="n">
        <x:f>(B10-B11)/(1-B11)</x:f>
        <x:v>0.7707187559264177</x:v>
      </x:c>
    </x:row>
    <x:row r="13">
      <x:c r="A13"/>
      <x:c r="B13" s="19"/>
    </x:row>
    <x:row r="14">
      <x:c r="A14" t="str">
        <x:v>Quadratic weighted observed disagreement</x:v>
      </x:c>
      <x:c r="B14" s="19" t="n">
        <x:f>(C4+B5+D5+C6+4*(D4+B6))/(4*E7)</x:f>
        <x:v>0.03494623655913978</x:v>
      </x:c>
    </x:row>
    <x:row r="15">
      <x:c r="A15" t="str">
        <x:v>Quadratic weighted expected disagreement</x:v>
      </x:c>
      <x:c r="B15" s="19" t="n">
        <x:f>(E4*C7+E5*(B7+D7)+E6*C7+4*(E4*D7+E6*B7))/(4*E7^2)</x:f>
        <x:v>0.2870852121632559</x:v>
      </x:c>
    </x:row>
    <x:row r="16">
      <x:c r="A16" t="str">
        <x:v>Quadratic weighted kappa</x:v>
      </x:c>
      <x:c r="B16" s="19" t="n">
        <x:f>1-B14/B15</x:f>
        <x:v>0.8782722513089005</x:v>
      </x:c>
    </x:row>
    <x:row r="18">
      <x:c r="A18" t="str">
        <x:v>Source: reviewer1_score_original and reviewer2_score_original before adjudication.</x:v>
      </x:c>
    </x:row>
    <x:row r="19">
      <x:c r="A19" t="str">
        <x:v>Final consensus is a separate adjudicated label, not a replacement for either reviewer's initial score.</x:v>
      </x:c>
    </x:row>
  </x:sheetData>
  <x:pageMargins left="0.7" right="0.7" top="0.75" bottom="0.75" header="0.3" footer="0.3"/>
</x:worksheet>
</file>